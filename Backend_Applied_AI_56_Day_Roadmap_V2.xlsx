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a03300870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63d9796a6834cb6"/>
    <x:sheet xmlns:r="http://schemas.openxmlformats.org/officeDocument/2006/relationships" name="56-Day Tracker" sheetId="2" r:id="Rd5e7031d6ded476c"/>
    <x:sheet xmlns:r="http://schemas.openxmlformats.org/officeDocument/2006/relationships" name="Weekly Roadmap" sheetId="3" r:id="Rc26f49f9b77a465d"/>
    <x:sheet xmlns:r="http://schemas.openxmlformats.org/officeDocument/2006/relationships" name="AI Skills Matrix" sheetId="4" r:id="R24ce2dcc996148cc"/>
    <x:sheet xmlns:r="http://schemas.openxmlformats.org/officeDocument/2006/relationships" name="Advanced Backlog" sheetId="5" r:id="R743c72c35b5348c2"/>
    <x:sheet xmlns:r="http://schemas.openxmlformats.org/officeDocument/2006/relationships" name="Application Log" sheetId="6" r:id="Rb2d6c50ac0e541c0"/>
    <x:sheet xmlns:r="http://schemas.openxmlformats.org/officeDocument/2006/relationships" name="Original Syllabus" sheetId="7" r:id="Rd2832c35605c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 mmm yyyy"/>
  </x:numFmts>
  <x:fonts count="17">
    <x:font>
      <x:sz val="11"/>
      <x:name val="Carlito"/>
    </x:font>
    <x:font>
      <x:b/>
      <x:sz val="20"/>
      <x:color rgb="FFFFFFFF"/>
      <x:name val="Carlito"/>
    </x:font>
    <x:font>
      <x:i/>
      <x:sz val="12"/>
      <x:color rgb="FF64748B"/>
      <x:name val="Carlito"/>
    </x:font>
    <x:font>
      <x:b/>
      <x:sz val="10"/>
      <x:color rgb="FFFFFFFF"/>
      <x:name val="Carlito"/>
    </x:font>
    <x:font>
      <x:b/>
      <x:sz val="26"/>
      <x:color rgb="FF6C4DE6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14213D"/>
      <x:name val="Carlito"/>
    </x:font>
    <x:font>
      <x:sz val="11"/>
      <x:color rgb="FF64748B"/>
      <x:name val="Carlito"/>
    </x:font>
    <x:font>
      <x:b/>
      <x:sz val="17"/>
      <x:color rgb="FF6C4DE6"/>
      <x:name val="Carlito"/>
    </x:font>
    <x:font>
      <x:sz val="11"/>
      <x:color rgb="FF14213D"/>
      <x:name val="Carlito"/>
    </x:font>
    <x:font>
      <x:b/>
      <x:sz val="11"/>
      <x:color rgb="FFA7440D"/>
      <x:name val="Carlito"/>
    </x:font>
    <x:font>
      <x:sz val="10"/>
      <x:color rgb="FF14213D"/>
      <x:name val="Carlito"/>
    </x:font>
    <x:font>
      <x:b/>
      <x:sz val="10"/>
      <x:color rgb="FF9A3412"/>
      <x:name val="Carlito"/>
    </x:font>
    <x:font>
      <x:b/>
      <x:sz val="17"/>
      <x:color rgb="FFFFFFFF"/>
      <x:name val="Carlito"/>
    </x:font>
    <x:font>
      <x:b/>
      <x:sz val="11"/>
      <x:color rgb="FF6C4DE6"/>
      <x:name val="Carlito"/>
    </x:font>
    <x:font>
      <x:sz val="1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01A33"/>
      </x:patternFill>
    </x:fill>
    <x:fill>
      <x:patternFill patternType="solid">
        <x:fgColor rgb="FFF97316"/>
      </x:patternFill>
    </x:fill>
    <x:fill>
      <x:patternFill patternType="solid">
        <x:fgColor rgb="FF14213D"/>
      </x:patternFill>
    </x:fill>
    <x:fill>
      <x:patternFill patternType="solid">
        <x:fgColor rgb="FFF5F7FC"/>
      </x:patternFill>
    </x:fill>
    <x:fill>
      <x:patternFill patternType="solid">
        <x:fgColor rgb="FF6C4DE6"/>
      </x:patternFill>
    </x:fill>
    <x:fill>
      <x:patternFill patternType="solid">
        <x:fgColor rgb="FFEEF2FF"/>
      </x:patternFill>
    </x:fill>
    <x:fill>
      <x:patternFill patternType="solid">
        <x:fgColor rgb="FF0D9488"/>
      </x:patternFill>
    </x:fill>
    <x:fill>
      <x:patternFill patternType="solid">
        <x:fgColor rgb="FFFFFFFF"/>
      </x:patternFill>
    </x:fill>
    <x:fill>
      <x:patternFill patternType="solid">
        <x:fgColor rgb="FFFFF2E7"/>
      </x:patternFill>
    </x:fill>
    <x:fill>
      <x:patternFill patternType="solid">
        <x:fgColor rgb="FFF4F0FF"/>
      </x:patternFill>
    </x:fill>
    <x:fill>
      <x:patternFill patternType="solid">
        <x:fgColor rgb="FFE8F6F3"/>
      </x:patternFill>
    </x:fill>
    <x:fill>
      <x:patternFill patternType="solid">
        <x:fgColor rgb="FFFFF7ED"/>
      </x:patternFill>
    </x:fill>
    <x:fill>
      <x:patternFill patternType="solid">
        <x:fgColor rgb="FFF1F5FD"/>
      </x:patternFill>
    </x:fill>
    <x:fill>
      <x:patternFill patternType="solid">
        <x:fgColor rgb="FFEDE9FE"/>
      </x:patternFill>
    </x:fill>
    <x:fill>
      <x:patternFill patternType="solid">
        <x:fgColor rgb="FFF7F9FE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200" fontId="9" fillId="7" borderId="0" xfId="0" applyNumberFormat="1" applyFont="1" applyFill="1" applyBorder="1" applyAlignment="1">
      <x:alignment horizontal="center" vertical="center"/>
    </x:xf>
    <x:xf numFmtId="200" fontId="9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11" fillId="10" borderId="1" xfId="0" applyNumberFormat="1" applyFont="1" applyFill="1" applyBorder="1"/>
    <x:xf numFmtId="0" fontId="11" fillId="1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1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vertical="center" wrapText="1"/>
    </x:xf>
    <x:xf numFmtId="0" fontId="12" fillId="12" borderId="1" xfId="0" applyNumberFormat="1" applyFont="1" applyFill="1" applyBorder="1" applyAlignment="1">
      <x:alignment vertical="center" wrapText="1"/>
    </x:xf>
    <x:xf numFmtId="0" fontId="12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12" fillId="13" borderId="1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vertical="center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0" fillId="15" borderId="1" xfId="0" applyNumberFormat="1" applyFont="1" applyFill="1" applyBorder="1"/>
    <x:xf numFmtId="0" fontId="15" fillId="15" borderId="1" xfId="0" applyNumberFormat="1" applyFont="1" applyFill="1" applyBorder="1"/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/>
    <x:xf numFmtId="0" fontId="16" fillId="0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vertical="center" wrapText="1"/>
    </x:xf>
    <x:xf numFmtId="0" fontId="16" fillId="1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4213D"/>
      </x:font>
      <x:fill>
        <x:patternFill patternType="solid">
          <x:bgColor rgb="FFD1FAE5"/>
        </x:patternFill>
      </x:fill>
    </x:dxf>
    <x:dxf>
      <x:font>
        <x:b/>
        <x:color rgb="FF14213D"/>
      </x:font>
      <x:fill>
        <x:patternFill patternType="solid">
          <x:bgColor rgb="FFDBEAFE"/>
        </x:patternFill>
      </x:fill>
    </x:dxf>
    <x:dxf>
      <x:font>
        <x:b/>
        <x:color rgb="FF14213D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ce4434ca74bf2" /><Relationship Type="http://schemas.openxmlformats.org/officeDocument/2006/relationships/theme" Target="/xl/theme/theme1.xml" Id="Rc00c5566ab9441fa" /><Relationship Type="http://schemas.openxmlformats.org/officeDocument/2006/relationships/sharedStrings" Target="/xl/sharedStrings.xml" Id="R793544ec07e84785" /><Relationship Type="http://schemas.openxmlformats.org/officeDocument/2006/relationships/worksheet" Target="/xl/worksheets/sheet1.xml" Id="R263d9796a6834cb6" /><Relationship Type="http://schemas.openxmlformats.org/officeDocument/2006/relationships/worksheet" Target="/xl/worksheets/sheet2.xml" Id="Rd5e7031d6ded476c" /><Relationship Type="http://schemas.openxmlformats.org/officeDocument/2006/relationships/worksheet" Target="/xl/worksheets/sheet3.xml" Id="Rc26f49f9b77a465d" /><Relationship Type="http://schemas.openxmlformats.org/officeDocument/2006/relationships/worksheet" Target="/xl/worksheets/sheet4.xml" Id="R24ce2dcc996148cc" /><Relationship Type="http://schemas.openxmlformats.org/officeDocument/2006/relationships/worksheet" Target="/xl/worksheets/sheet5.xml" Id="R743c72c35b5348c2" /><Relationship Type="http://schemas.openxmlformats.org/officeDocument/2006/relationships/worksheet" Target="/xl/worksheets/sheet6.xml" Id="Rb2d6c50ac0e541c0" /><Relationship Type="http://schemas.openxmlformats.org/officeDocument/2006/relationships/worksheet" Target="/xl/worksheets/sheet7.xml" Id="Rd2832c35605c44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3" hidden="0" customWidth="1"/>
    <x:col min="3" max="3" width="21" hidden="0" customWidth="1"/>
    <x:col min="4" max="4" width="19" hidden="0" customWidth="1"/>
    <x:col min="5" max="5" width="18" hidden="0" customWidth="1"/>
    <x:col min="6" max="6" width="19" hidden="0" customWidth="1"/>
    <x:col min="7" max="7" width="20" hidden="0" customWidth="1"/>
    <x:col min="8" max="8" width="20" hidden="0" customWidth="1"/>
    <x:col min="9" max="9" width="19" hidden="0" customWidth="1"/>
    <x:col min="10" max="10" width="19" hidden="0" customWidth="1"/>
    <x:col min="11" max="11" width="18" hidden="0" customWidth="1"/>
    <x:col min="12" max="12" width="18" hidden="0" customWidth="1"/>
  </x:cols>
  <x:sheetData>
    <x:row r="1" ht="29" customHeight="1">
      <x:c r="A1" s="4" t="str">
        <x:v>BACKEND × APPLIED AI  |  56-DAY COMMAND CENTER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9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6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5" ht="29" customHeight="1">
      <x:c r="A5" s="10" t="str">
        <x:v>From production backend engineering to reliable AI systems  •  Learn → Build → Ship → Interview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</x:row>
    <x:row r="7" ht="27" customHeight="1">
      <x:c r="A7" s="14" t="str">
        <x:v>DAYS COMPLETED</x:v>
      </x:c>
      <x:c r="B7" s="14"/>
      <x:c r="C7" s="14"/>
      <x:c r="D7" s="14" t="str">
        <x:v>PROGRESS</x:v>
      </x:c>
      <x:c r="E7" s="14"/>
      <x:c r="F7" s="14"/>
      <x:c r="G7" s="14" t="str">
        <x:v>ACTIVE DAYS</x:v>
      </x:c>
      <x:c r="H7" s="14"/>
      <x:c r="I7" s="14"/>
      <x:c r="J7" s="14" t="str">
        <x:v>DAYS LEFT</x:v>
      </x:c>
      <x:c r="K7" s="14"/>
      <x:c r="L7" s="14"/>
    </x:row>
    <x:row r="8" ht="25" customHeight="1">
      <x:c r="A8" s="21" t="n">
        <x:f>COUNTIF('56-Day Tracker'!K5:K60,"Done")</x:f>
        <x:v>0</x:v>
      </x:c>
      <x:c r="B8" s="21"/>
      <x:c r="C8" s="21"/>
      <x:c r="D8" s="26" t="n">
        <x:f>COUNTIF('56-Day Tracker'!K5:K60,"Done")/56</x:f>
        <x:v>0</x:v>
      </x:c>
      <x:c r="E8" s="21"/>
      <x:c r="F8" s="21"/>
      <x:c r="G8" s="21" t="n">
        <x:f>COUNTIF('56-Day Tracker'!K5:K60,"In Progress")</x:f>
        <x:v>0</x:v>
      </x:c>
      <x:c r="H8" s="21"/>
      <x:c r="I8" s="21"/>
      <x:c r="J8" s="21" t="n">
        <x:f>56-COUNTIF('56-Day Tracker'!K5:K60,"Done")</x:f>
        <x:v>56</x:v>
      </x:c>
      <x:c r="K8" s="21"/>
      <x:c r="L8" s="21"/>
    </x:row>
    <x:row r="9" ht="25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 ht="25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3" ht="30" customHeight="1">
      <x:c r="A13" s="28" t="str">
        <x:v>YOUR 8-WEEK LEARNING PATH</x:v>
      </x:c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</x:row>
    <x:row r="15" ht="23" customHeight="1">
      <x:c r="A15" s="33" t="str">
        <x:v>WEEK 01</x:v>
      </x:c>
      <x:c r="B15" s="33"/>
      <x:c r="C15" s="38" t="str">
        <x:v>PYTHON ENGINEERING</x:v>
      </x:c>
      <x:c r="D15" s="38"/>
      <x:c r="E15" s="38"/>
      <x:c r="F15" s="38"/>
      <x:c r="G15" s="38"/>
      <x:c r="H15" s="38"/>
      <x:c r="I15" s="50" t="n">
        <x:f>COUNTIFS('56-Day Tracker'!$B$5:$B$60,1,'56-Day Tracker'!$K$5:$K$60,"Done")/7</x:f>
        <x:v>0</x:v>
      </x:c>
      <x:c r="J15" s="45"/>
      <x:c r="K15" s="45"/>
      <x:c r="L15" s="45"/>
    </x:row>
    <x:row r="16" ht="23" customHeight="1">
      <x:c r="A16" s="33"/>
      <x:c r="B16" s="33"/>
      <x:c r="C16" s="40" t="str">
        <x:v>Typing · OOP · async · testing</x:v>
      </x:c>
      <x:c r="D16" s="40"/>
      <x:c r="E16" s="40"/>
      <x:c r="F16" s="40"/>
      <x:c r="G16" s="40"/>
      <x:c r="H16" s="40"/>
      <x:c r="I16" s="45"/>
      <x:c r="J16" s="45"/>
      <x:c r="K16" s="45"/>
      <x:c r="L16" s="45"/>
    </x:row>
    <x:row r="18" ht="23" customHeight="1">
      <x:c r="A18" s="55" t="str">
        <x:v>WEEK 02</x:v>
      </x:c>
      <x:c r="B18" s="55"/>
      <x:c r="C18" s="38" t="str">
        <x:v>FASTAPI + POSTGRES</x:v>
      </x:c>
      <x:c r="D18" s="38"/>
      <x:c r="E18" s="38"/>
      <x:c r="F18" s="38"/>
      <x:c r="G18" s="38"/>
      <x:c r="H18" s="38"/>
      <x:c r="I18" s="50" t="n">
        <x:f>COUNTIFS('56-Day Tracker'!$B$5:$B$60,2,'56-Day Tracker'!$K$5:$K$60,"Done")/7</x:f>
        <x:v>0</x:v>
      </x:c>
      <x:c r="J18" s="45"/>
      <x:c r="K18" s="45"/>
      <x:c r="L18" s="45"/>
    </x:row>
    <x:row r="19" ht="23" customHeight="1">
      <x:c r="A19" s="55"/>
      <x:c r="B19" s="55"/>
      <x:c r="C19" s="40" t="str">
        <x:v>REST · auth · indexes · migrations</x:v>
      </x:c>
      <x:c r="D19" s="40"/>
      <x:c r="E19" s="40"/>
      <x:c r="F19" s="40"/>
      <x:c r="G19" s="40"/>
      <x:c r="H19" s="40"/>
      <x:c r="I19" s="45"/>
      <x:c r="J19" s="45"/>
      <x:c r="K19" s="45"/>
      <x:c r="L19" s="45"/>
    </x:row>
    <x:row r="21" ht="23" customHeight="1">
      <x:c r="A21" s="62" t="str">
        <x:v>WEEK 03</x:v>
      </x:c>
      <x:c r="B21" s="62"/>
      <x:c r="C21" s="38" t="str">
        <x:v>DJANGO / DRF + SAAS</x:v>
      </x:c>
      <x:c r="D21" s="38"/>
      <x:c r="E21" s="38"/>
      <x:c r="F21" s="38"/>
      <x:c r="G21" s="38"/>
      <x:c r="H21" s="38"/>
      <x:c r="I21" s="50" t="n">
        <x:f>COUNTIFS('56-Day Tracker'!$B$5:$B$60,3,'56-Day Tracker'!$K$5:$K$60,"Done")/7</x:f>
        <x:v>0</x:v>
      </x:c>
      <x:c r="J21" s="45"/>
      <x:c r="K21" s="45"/>
      <x:c r="L21" s="45"/>
    </x:row>
    <x:row r="22" ht="23" customHeight="1">
      <x:c r="A22" s="62"/>
      <x:c r="B22" s="62"/>
      <x:c r="C22" s="40" t="str">
        <x:v>ORM · permissions · tenancy</x:v>
      </x:c>
      <x:c r="D22" s="40"/>
      <x:c r="E22" s="40"/>
      <x:c r="F22" s="40"/>
      <x:c r="G22" s="40"/>
      <x:c r="H22" s="40"/>
      <x:c r="I22" s="45"/>
      <x:c r="J22" s="45"/>
      <x:c r="K22" s="45"/>
      <x:c r="L22" s="45"/>
    </x:row>
    <x:row r="24" ht="23" customHeight="1">
      <x:c r="A24" s="33" t="str">
        <x:v>WEEK 04</x:v>
      </x:c>
      <x:c r="B24" s="33"/>
      <x:c r="C24" s="38" t="str">
        <x:v>ASYNCHRONOUS BACKEND</x:v>
      </x:c>
      <x:c r="D24" s="38"/>
      <x:c r="E24" s="38"/>
      <x:c r="F24" s="38"/>
      <x:c r="G24" s="38"/>
      <x:c r="H24" s="38"/>
      <x:c r="I24" s="50" t="n">
        <x:f>COUNTIFS('56-Day Tracker'!$B$5:$B$60,4,'56-Day Tracker'!$K$5:$K$60,"Done")/7</x:f>
        <x:v>0</x:v>
      </x:c>
      <x:c r="J24" s="45"/>
      <x:c r="K24" s="45"/>
      <x:c r="L24" s="45"/>
    </x:row>
    <x:row r="25" ht="23" customHeight="1">
      <x:c r="A25" s="33"/>
      <x:c r="B25" s="33"/>
      <x:c r="C25" s="40" t="str">
        <x:v>Redis · Celery · queues · caching</x:v>
      </x:c>
      <x:c r="D25" s="40"/>
      <x:c r="E25" s="40"/>
      <x:c r="F25" s="40"/>
      <x:c r="G25" s="40"/>
      <x:c r="H25" s="40"/>
      <x:c r="I25" s="45"/>
      <x:c r="J25" s="45"/>
      <x:c r="K25" s="45"/>
      <x:c r="L25" s="45"/>
    </x:row>
    <x:row r="27" ht="23" customHeight="1">
      <x:c r="A27" s="55" t="str">
        <x:v>WEEK 05</x:v>
      </x:c>
      <x:c r="B27" s="55"/>
      <x:c r="C27" s="38" t="str">
        <x:v>CLOUD + PRODUCTION</x:v>
      </x:c>
      <x:c r="D27" s="38"/>
      <x:c r="E27" s="38"/>
      <x:c r="F27" s="38"/>
      <x:c r="G27" s="38"/>
      <x:c r="H27" s="38"/>
      <x:c r="I27" s="50" t="n">
        <x:f>COUNTIFS('56-Day Tracker'!$B$5:$B$60,5,'56-Day Tracker'!$K$5:$K$60,"Done")/7</x:f>
        <x:v>0</x:v>
      </x:c>
      <x:c r="J27" s="45"/>
      <x:c r="K27" s="45"/>
      <x:c r="L27" s="45"/>
    </x:row>
    <x:row r="28" ht="23" customHeight="1">
      <x:c r="A28" s="55"/>
      <x:c r="B28" s="55"/>
      <x:c r="C28" s="40" t="str">
        <x:v>Docker · AWS · CI/CD · tests</x:v>
      </x:c>
      <x:c r="D28" s="40"/>
      <x:c r="E28" s="40"/>
      <x:c r="F28" s="40"/>
      <x:c r="G28" s="40"/>
      <x:c r="H28" s="40"/>
      <x:c r="I28" s="45"/>
      <x:c r="J28" s="45"/>
      <x:c r="K28" s="45"/>
      <x:c r="L28" s="45"/>
    </x:row>
    <x:row r="30" ht="23" customHeight="1">
      <x:c r="A30" s="62" t="str">
        <x:v>WEEK 06</x:v>
      </x:c>
      <x:c r="B30" s="62"/>
      <x:c r="C30" s="38" t="str">
        <x:v>SYSTEM DESIGN</x:v>
      </x:c>
      <x:c r="D30" s="38"/>
      <x:c r="E30" s="38"/>
      <x:c r="F30" s="38"/>
      <x:c r="G30" s="38"/>
      <x:c r="H30" s="38"/>
      <x:c r="I30" s="50" t="n">
        <x:f>COUNTIFS('56-Day Tracker'!$B$5:$B$60,6,'56-Day Tracker'!$K$5:$K$60,"Done")/7</x:f>
        <x:v>0</x:v>
      </x:c>
      <x:c r="J30" s="45"/>
      <x:c r="K30" s="45"/>
      <x:c r="L30" s="45"/>
    </x:row>
    <x:row r="31" ht="23" customHeight="1">
      <x:c r="A31" s="62"/>
      <x:c r="B31" s="62"/>
      <x:c r="C31" s="40" t="str">
        <x:v>Scaling · resilience · design mocks</x:v>
      </x:c>
      <x:c r="D31" s="40"/>
      <x:c r="E31" s="40"/>
      <x:c r="F31" s="40"/>
      <x:c r="G31" s="40"/>
      <x:c r="H31" s="40"/>
      <x:c r="I31" s="45"/>
      <x:c r="J31" s="45"/>
      <x:c r="K31" s="45"/>
      <x:c r="L31" s="45"/>
    </x:row>
    <x:row r="33" ht="23" customHeight="1">
      <x:c r="A33" s="33" t="str">
        <x:v>WEEK 07</x:v>
      </x:c>
      <x:c r="B33" s="33"/>
      <x:c r="C33" s="38" t="str">
        <x:v>LLM + RAG + AGENTS</x:v>
      </x:c>
      <x:c r="D33" s="38"/>
      <x:c r="E33" s="38"/>
      <x:c r="F33" s="38"/>
      <x:c r="G33" s="38"/>
      <x:c r="H33" s="38"/>
      <x:c r="I33" s="50" t="n">
        <x:f>COUNTIFS('56-Day Tracker'!$B$5:$B$60,7,'56-Day Tracker'!$K$5:$K$60,"Done")/7</x:f>
        <x:v>0</x:v>
      </x:c>
      <x:c r="J33" s="45"/>
      <x:c r="K33" s="45"/>
      <x:c r="L33" s="45"/>
    </x:row>
    <x:row r="34" ht="23" customHeight="1">
      <x:c r="A34" s="33"/>
      <x:c r="B34" s="33"/>
      <x:c r="C34" s="40" t="str">
        <x:v>Structured outputs · MCP · evaluation</x:v>
      </x:c>
      <x:c r="D34" s="40"/>
      <x:c r="E34" s="40"/>
      <x:c r="F34" s="40"/>
      <x:c r="G34" s="40"/>
      <x:c r="H34" s="40"/>
      <x:c r="I34" s="45"/>
      <x:c r="J34" s="45"/>
      <x:c r="K34" s="45"/>
      <x:c r="L34" s="45"/>
    </x:row>
    <x:row r="36" ht="23" customHeight="1">
      <x:c r="A36" s="55" t="str">
        <x:v>WEEK 08</x:v>
      </x:c>
      <x:c r="B36" s="55"/>
      <x:c r="C36" s="38" t="str">
        <x:v>SHIP + GET HIRED</x:v>
      </x:c>
      <x:c r="D36" s="38"/>
      <x:c r="E36" s="38"/>
      <x:c r="F36" s="38"/>
      <x:c r="G36" s="38"/>
      <x:c r="H36" s="38"/>
      <x:c r="I36" s="50" t="n">
        <x:f>COUNTIFS('56-Day Tracker'!$B$5:$B$60,8,'56-Day Tracker'!$K$5:$K$60,"Done")/7</x:f>
        <x:v>0</x:v>
      </x:c>
      <x:c r="J36" s="45"/>
      <x:c r="K36" s="45"/>
      <x:c r="L36" s="45"/>
    </x:row>
    <x:row r="37" ht="23" customHeight="1">
      <x:c r="A37" s="55"/>
      <x:c r="B37" s="55"/>
      <x:c r="C37" s="40" t="str">
        <x:v>AI production · portfolio · interviews</x:v>
      </x:c>
      <x:c r="D37" s="40"/>
      <x:c r="E37" s="40"/>
      <x:c r="F37" s="40"/>
      <x:c r="G37" s="40"/>
      <x:c r="H37" s="40"/>
      <x:c r="I37" s="45"/>
      <x:c r="J37" s="45"/>
      <x:c r="K37" s="45"/>
      <x:c r="L37" s="45"/>
    </x:row>
    <x:row r="41" ht="31" customHeight="1">
      <x:c r="A41" s="28" t="str">
        <x:v>DAILY EXECUTION · FOCUS ON QUALITY OVER RAW APPLICATION COUNTS</x:v>
      </x:c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</x:row>
    <x:row r="43" ht="27" customHeight="1">
      <x:c r="A43" s="67" t="str">
        <x:v>◆  10 carefully reviewed manual applications/day (target, not obligation)</x:v>
      </x:c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</x:row>
    <x:row r="44" ht="27" customHeight="1">
      <x:c r="A44" s="70" t="str">
        <x:v>◆  Up to 20 agent-assisted applications/day with relevant-role checks</x:v>
      </x:c>
      <x:c r="B44" s="70"/>
      <x:c r="C44" s="70"/>
      <x:c r="D44" s="70"/>
      <x:c r="E44" s="70"/>
      <x:c r="F44" s="70"/>
      <x:c r="G44" s="70"/>
      <x:c r="H44" s="70"/>
      <x:c r="I44" s="70"/>
      <x:c r="J44" s="70"/>
      <x:c r="K44" s="70"/>
      <x:c r="L44" s="70"/>
    </x:row>
    <x:row r="45" ht="27" customHeight="1">
      <x:c r="A45" s="67" t="str">
        <x:v>◆  60–90 minutes focused learning/building + 30 minutes DSA/SQL practice</x:v>
      </x:c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</x:row>
    <x:row r="46" ht="27" customHeight="1">
      <x:c r="A46" s="70" t="str">
        <x:v>◆  Use 56-Day Tracker status dropdowns to update the dashboard automatically</x:v>
      </x:c>
      <x:c r="B46" s="70"/>
      <x:c r="C46" s="70"/>
      <x:c r="D46" s="70"/>
      <x:c r="E46" s="70"/>
      <x:c r="F46" s="70"/>
      <x:c r="G46" s="70"/>
      <x:c r="H46" s="70"/>
      <x:c r="I46" s="70"/>
      <x:c r="J46" s="70"/>
      <x:c r="K46" s="70"/>
      <x:c r="L46" s="70"/>
    </x:row>
    <x:row r="47" ht="27" customHeight="1">
      <x:c r="A47" s="67" t="str">
        <x:v>◆  Weeks 1–6: backend foundation  •  Week 7: applied AI  •  Week 8: ship and interview</x:v>
      </x:c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</x:row>
    <x:row r="50" ht="34" customHeight="1">
      <x:c r="A50" s="74" t="str">
        <x:v>WORKBOOK GUIDE  →  56-Day Tracker | Weekly Roadmap | AI Skills | Advanced Backlog | Application Log | Original Syllabus</x:v>
      </x:c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</x:row>
  </x:sheetData>
  <x:mergeCells>
    <x:mergeCell ref="A1:L2"/>
    <x:mergeCell ref="A5:L5"/>
    <x:mergeCell ref="A7:C7"/>
    <x:mergeCell ref="A8:C10"/>
    <x:mergeCell ref="D7:F7"/>
    <x:mergeCell ref="D8:F10"/>
    <x:mergeCell ref="G7:I7"/>
    <x:mergeCell ref="G8:I10"/>
    <x:mergeCell ref="J7:L7"/>
    <x:mergeCell ref="J8:L10"/>
    <x:mergeCell ref="A13:L13"/>
    <x:mergeCell ref="A15:B16"/>
    <x:mergeCell ref="C15:H15"/>
    <x:mergeCell ref="C16:H16"/>
    <x:mergeCell ref="I15:L16"/>
    <x:mergeCell ref="A18:B19"/>
    <x:mergeCell ref="C18:H18"/>
    <x:mergeCell ref="C19:H19"/>
    <x:mergeCell ref="I18:L19"/>
    <x:mergeCell ref="A21:B22"/>
    <x:mergeCell ref="C21:H21"/>
    <x:mergeCell ref="C22:H22"/>
    <x:mergeCell ref="I21:L22"/>
    <x:mergeCell ref="A24:B25"/>
    <x:mergeCell ref="C24:H24"/>
    <x:mergeCell ref="C25:H25"/>
    <x:mergeCell ref="I24:L25"/>
    <x:mergeCell ref="A27:B28"/>
    <x:mergeCell ref="C27:H27"/>
    <x:mergeCell ref="C28:H28"/>
    <x:mergeCell ref="I27:L28"/>
    <x:mergeCell ref="A30:B31"/>
    <x:mergeCell ref="C30:H30"/>
    <x:mergeCell ref="C31:H31"/>
    <x:mergeCell ref="I30:L31"/>
    <x:mergeCell ref="A33:B34"/>
    <x:mergeCell ref="C33:H33"/>
    <x:mergeCell ref="C34:H34"/>
    <x:mergeCell ref="I33:L34"/>
    <x:mergeCell ref="A36:B37"/>
    <x:mergeCell ref="C36:H36"/>
    <x:mergeCell ref="C37:H37"/>
    <x:mergeCell ref="I36:L37"/>
    <x:mergeCell ref="A41:L41"/>
    <x:mergeCell ref="A43:L43"/>
    <x:mergeCell ref="A44:L44"/>
    <x:mergeCell ref="A45:L45"/>
    <x:mergeCell ref="A46:L46"/>
    <x:mergeCell ref="A47:L47"/>
    <x:mergeCell ref="A50:L5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64" hidden="0" customWidth="1"/>
    <x:col min="5" max="5" width="65" hidden="0" customWidth="1"/>
    <x:col min="6" max="6" width="39" hidden="0" customWidth="1"/>
    <x:col min="7" max="7" width="43" hidden="0" customWidth="1"/>
    <x:col min="8" max="8" width="42" hidden="0" customWidth="1"/>
    <x:col min="9" max="9" width="23" hidden="0" customWidth="1"/>
    <x:col min="10" max="10" width="20" hidden="0" customWidth="1"/>
    <x:col min="11" max="11" width="17" hidden="0" customWidth="1"/>
    <x:col min="12" max="12" width="30" hidden="0" customWidth="1"/>
  </x:cols>
  <x:sheetData>
    <x:row r="1" ht="29" customHeight="1">
      <x:c r="A1" s="4" t="str">
        <x:v>56 DAYS  |  ACTIONABLE LEARNING &amp; PROGRESS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9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6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 ht="33" customHeight="1">
      <x:c r="A4" s="79" t="str">
        <x:v>DAY</x:v>
      </x:c>
      <x:c r="B4" s="79" t="str">
        <x:v>WEEK</x:v>
      </x:c>
      <x:c r="C4" s="79" t="str">
        <x:v>THEME / TRACK</x:v>
      </x:c>
      <x:c r="D4" s="79" t="str">
        <x:v>EXACT TOPICS TO MASTER</x:v>
      </x:c>
      <x:c r="E4" s="79" t="str">
        <x:v>HANDS-ON / DELIVERABLE</x:v>
      </x:c>
      <x:c r="F4" s="79" t="str">
        <x:v>DSA PRACTICE</x:v>
      </x:c>
      <x:c r="G4" s="79" t="str">
        <x:v>SQL / SYSTEM DESIGN</x:v>
      </x:c>
      <x:c r="H4" s="79" t="str">
        <x:v>INTERVIEW CHECK</x:v>
      </x:c>
      <x:c r="I4" s="79" t="str">
        <x:v>MANUAL TARGET</x:v>
      </x:c>
      <x:c r="J4" s="79" t="str">
        <x:v>ASSISTED TARGET</x:v>
      </x:c>
      <x:c r="K4" s="79" t="str">
        <x:v>STATUS</x:v>
      </x:c>
      <x:c r="L4" s="79" t="str">
        <x:v>LEARNING NOTES / EVIDENCE</x:v>
      </x:c>
    </x:row>
    <x:row r="5" ht="57" customHeight="1">
      <x:c r="A5" s="88" t="n">
        <x:v>1</x:v>
      </x:c>
      <x:c r="B5" s="88" t="n">
        <x:v>1</x:v>
      </x:c>
      <x:c r="C5" s="88" t="str">
        <x:v>Python Engineering Foundations</x:v>
      </x:c>
      <x:c r="D5" s="84" t="str">
        <x:v>Python execution model; variables/references; mutable vs immutable; identity vs equality; shallow/deep copy; list/tuple/set/dict internals; comprehensions</x:v>
      </x:c>
      <x:c r="E5" s="84" t="str">
        <x:v>Write 12 small experiments proving mutability, copying, hashing and reference behavior. Refactor one existing Python module with type hints.</x:v>
      </x:c>
      <x:c r="F5" s="84" t="str">
        <x:v>Arrays &amp; strings: Big-O, traversal, frequency counting. Solve: Two Sum, Contains Duplicate, Valid Anagram.</x:v>
      </x:c>
      <x:c r="G5" s="84" t="str">
        <x:v>Big-O notation; RAM model; stack vs heap at interview level.</x:v>
      </x:c>
      <x:c r="H5" s="84" t="str">
        <x:v>Explain mutable default arguments, is vs ==, list vs tuple, dict/set complexity without notes.</x:v>
      </x:c>
      <x:c r="I5" s="94" t="n">
        <x:v>10</x:v>
      </x:c>
      <x:c r="J5" s="94" t="n">
        <x:v>20</x:v>
      </x:c>
      <x:c r="K5" s="84" t="str">
        <x:v>Not Started</x:v>
      </x:c>
      <x:c r="L5" s="84" t="str"/>
    </x:row>
    <x:row r="6" ht="57" customHeight="1">
      <x:c r="A6" s="88" t="n">
        <x:v>2</x:v>
      </x:c>
      <x:c r="B6" s="88" t="n">
        <x:v>1</x:v>
      </x:c>
      <x:c r="C6" s="88" t="str">
        <x:v>Python Engineering Foundations</x:v>
      </x:c>
      <x:c r="D6" s="84" t="str">
        <x:v>Functions + OOP + clean Python; Functions as objects; *args/**kwargs; scope/LEGB; closures; decorators; generators/yield; iterators; dataclasses; OOP; composition vs inheritance; SOLID basics</x:v>
      </x:c>
      <x:c r="E6" s="84" t="str">
        <x:v>Implement decorators for timing/retry/logging; iterator/generator; small service using dataclasses + interfaces.</x:v>
      </x:c>
      <x:c r="F6" s="84" t="str">
        <x:v>Hash maps/sets: Group Anagrams, Top K Frequent Elements, Longest Consecutive Sequence.</x:v>
      </x:c>
      <x:c r="G6" s="84" t="str">
        <x:v>Process vs thread; CPU-bound vs I/O-bound.</x:v>
      </x:c>
      <x:c r="H6" s="84" t="str">
        <x:v>Explain decorators, generators and dependency inversion with code.</x:v>
      </x:c>
      <x:c r="I6" s="94" t="n">
        <x:v>10</x:v>
      </x:c>
      <x:c r="J6" s="94" t="n">
        <x:v>20</x:v>
      </x:c>
      <x:c r="K6" s="84" t="str">
        <x:v>Not Started</x:v>
      </x:c>
      <x:c r="L6" s="84" t="str"/>
    </x:row>
    <x:row r="7" ht="57" customHeight="1">
      <x:c r="A7" s="88" t="n">
        <x:v>3</x:v>
      </x:c>
      <x:c r="B7" s="88" t="n">
        <x:v>1</x:v>
      </x:c>
      <x:c r="C7" s="88" t="str">
        <x:v>Python Engineering Foundations</x:v>
      </x:c>
      <x:c r="D7" s="84" t="str">
        <x:v>Exceptions, typing, testing; Exception hierarchy; custom exceptions; context managers; typing: Optional/Union/Protocol/Generic basics; pytest fixtures; parametrization; mocking</x:v>
      </x:c>
      <x:c r="E7" s="84" t="str">
        <x:v>Add pytest unit tests to a service; custom exception layer; context manager; reach meaningful coverage on one module.</x:v>
      </x:c>
      <x:c r="F7" s="84" t="str">
        <x:v>Two pointers: Valid Palindrome, Two Sum II, 3Sum.</x:v>
      </x:c>
      <x:c r="G7" s="84" t="str">
        <x:v>Testing pyramid; unit vs integration vs E2E; mocks and when not to mock.</x:v>
      </x:c>
      <x:c r="H7" s="84" t="str">
        <x:v>Answer: how would you test a payment/order service?</x:v>
      </x:c>
      <x:c r="I7" s="94" t="n">
        <x:v>10</x:v>
      </x:c>
      <x:c r="J7" s="94" t="n">
        <x:v>20</x:v>
      </x:c>
      <x:c r="K7" s="84" t="str">
        <x:v>Not Started</x:v>
      </x:c>
      <x:c r="L7" s="84" t="str"/>
    </x:row>
    <x:row r="8" ht="57" customHeight="1">
      <x:c r="A8" s="88" t="n">
        <x:v>4</x:v>
      </x:c>
      <x:c r="B8" s="88" t="n">
        <x:v>1</x:v>
      </x:c>
      <x:c r="C8" s="88" t="str">
        <x:v>Python Engineering Foundations</x:v>
      </x:c>
      <x:c r="D8" s="84" t="str">
        <x:v>Concurrency &amp; async Python; GIL; threading; multiprocessing; asyncio event loop; coroutine/task; await; gather; timeout; cancellation; async context managers</x:v>
      </x:c>
      <x:c r="E8" s="84" t="str">
        <x:v>Build an async API/data fetcher with concurrency limit, retries, timeout and error handling; benchmark sequential vs async.</x:v>
      </x:c>
      <x:c r="F8" s="84" t="str">
        <x:v>Sliding window: Best Time to Buy/Sell Stock, Longest Substring Without Repeating, Longest Repeating Character Replacement.</x:v>
      </x:c>
      <x:c r="G8" s="84" t="str">
        <x:v>HTTP lifecycle; TCP basics; DNS; TLS; connection pooling.</x:v>
      </x:c>
      <x:c r="H8" s="84" t="str">
        <x:v>Explain async vs threads vs processes and when you used each.</x:v>
      </x:c>
      <x:c r="I8" s="94" t="n">
        <x:v>10</x:v>
      </x:c>
      <x:c r="J8" s="94" t="n">
        <x:v>20</x:v>
      </x:c>
      <x:c r="K8" s="84" t="str">
        <x:v>Not Started</x:v>
      </x:c>
      <x:c r="L8" s="84" t="str"/>
    </x:row>
    <x:row r="9" ht="57" customHeight="1">
      <x:c r="A9" s="88" t="n">
        <x:v>5</x:v>
      </x:c>
      <x:c r="B9" s="88" t="n">
        <x:v>1</x:v>
      </x:c>
      <x:c r="C9" s="88" t="str">
        <x:v>Python Engineering Foundations</x:v>
      </x:c>
      <x:c r="D9" s="84" t="str">
        <x:v>Git + Linux developer fundamentals; Git objects/commit graph; branch/merge/rebase; reset/revert; cherry-pick; stash; resolving conflicts; Linux permissions; processes; signals; grep/find/curl/ss/lsof/systemctl</x:v>
      </x:c>
      <x:c r="E9" s="84" t="str">
        <x:v>Create feature branches, intentional merge conflict, rebase and resolve. Write a Linux troubleshooting cheat sheet.</x:v>
      </x:c>
      <x:c r="F9" s="84" t="str">
        <x:v>Stack: Valid Parentheses, Min Stack, Daily Temperatures.</x:v>
      </x:c>
      <x:c r="G9" s="84" t="str">
        <x:v>Processes, ports, environment variables, signals, file permissions.</x:v>
      </x:c>
      <x:c r="H9" s="84" t="str">
        <x:v>Walk through debugging 'server is running but API is unreachable'.</x:v>
      </x:c>
      <x:c r="I9" s="94" t="n">
        <x:v>10</x:v>
      </x:c>
      <x:c r="J9" s="94" t="n">
        <x:v>20</x:v>
      </x:c>
      <x:c r="K9" s="84" t="str">
        <x:v>Not Started</x:v>
      </x:c>
      <x:c r="L9" s="84" t="str"/>
    </x:row>
    <x:row r="10" ht="57" customHeight="1">
      <x:c r="A10" s="88" t="n">
        <x:v>6</x:v>
      </x:c>
      <x:c r="B10" s="88" t="n">
        <x:v>1</x:v>
      </x:c>
      <x:c r="C10" s="88" t="str">
        <x:v>Python Engineering Foundations</x:v>
      </x:c>
      <x:c r="D10" s="84" t="str">
        <x:v>Packaging, logging, configuration; venv; pyproject basics; dependency pinning; env configuration; structured logging; secrets; linting/formatting; pre-commit concept</x:v>
      </x:c>
      <x:c r="E10" s="84" t="str">
        <x:v>Restructure capstone backend into config/domain/API/service/repository layers; add structured logs and env-based settings.</x:v>
      </x:c>
      <x:c r="F10" s="84" t="str">
        <x:v>Binary search: Binary Search, Search in Rotated Sorted Array, Find Minimum in Rotated Sorted Array.</x:v>
      </x:c>
      <x:c r="G10" s="84" t="str">
        <x:v>12-factor app concepts; configuration vs secrets.</x:v>
      </x:c>
      <x:c r="H10" s="84" t="str">
        <x:v>Explain your backend folder architecture and why.</x:v>
      </x:c>
      <x:c r="I10" s="94" t="n">
        <x:v>10</x:v>
      </x:c>
      <x:c r="J10" s="94" t="n">
        <x:v>20</x:v>
      </x:c>
      <x:c r="K10" s="84" t="str">
        <x:v>Not Started</x:v>
      </x:c>
      <x:c r="L10" s="84" t="str"/>
    </x:row>
    <x:row r="11" ht="57" customHeight="1">
      <x:c r="A11" s="88" t="n">
        <x:v>7</x:v>
      </x:c>
      <x:c r="B11" s="88" t="n">
        <x:v>1</x:v>
      </x:c>
      <x:c r="C11" s="88" t="str">
        <x:v>Python Engineering Foundations</x:v>
      </x:c>
      <x:c r="D11" s="84" t="str">
        <x:v>Week 1 integration + mock; Review Python weak points; profiling basics; clean code; code review checklist</x:v>
      </x:c>
      <x:c r="E11" s="84" t="str">
        <x:v>Build a small production-style Python service from blank folder in 90 minutes; tests + README.</x:v>
      </x:c>
      <x:c r="F11" s="84" t="str">
        <x:v>Timed mixed set: 4 problems from Week 1; re-solve failures.</x:v>
      </x:c>
      <x:c r="G11" s="84" t="str">
        <x:v>Review Big-O, OS/networking notes.</x:v>
      </x:c>
      <x:c r="H11" s="84" t="str">
        <x:v>30-min Python mock interview; record weak answers.</x:v>
      </x:c>
      <x:c r="I11" s="94" t="n">
        <x:v>10</x:v>
      </x:c>
      <x:c r="J11" s="94" t="n">
        <x:v>20</x:v>
      </x:c>
      <x:c r="K11" s="84" t="str">
        <x:v>Not Started</x:v>
      </x:c>
      <x:c r="L11" s="84" t="str"/>
    </x:row>
    <x:row r="12" ht="57" customHeight="1">
      <x:c r="A12" s="90" t="n">
        <x:v>8</x:v>
      </x:c>
      <x:c r="B12" s="90" t="n">
        <x:v>2</x:v>
      </x:c>
      <x:c r="C12" s="90" t="str">
        <x:v>APIs + FastAPI + PostgreSQL</x:v>
      </x:c>
      <x:c r="D12" s="84" t="str">
        <x:v>HTTP + REST deeply; HTTP methods; status codes; headers; cookies; idempotency; REST resource design; pagination; filtering; versioning; OpenAPI</x:v>
      </x:c>
      <x:c r="E12" s="84" t="str">
        <x:v>Design capstone API contract and implement health/users endpoints.</x:v>
      </x:c>
      <x:c r="F12" s="84" t="str">
        <x:v>Linked lists: Reverse Linked List, Merge Two Sorted Lists, Linked List Cycle.</x:v>
      </x:c>
      <x:c r="G12" s="84" t="str">
        <x:v>HTTP caching; idempotency; statelessness.</x:v>
      </x:c>
      <x:c r="H12" s="84" t="str">
        <x:v>Design REST endpoints for orders/users/projects on whiteboard.</x:v>
      </x:c>
      <x:c r="I12" s="94" t="n">
        <x:v>10</x:v>
      </x:c>
      <x:c r="J12" s="94" t="n">
        <x:v>20</x:v>
      </x:c>
      <x:c r="K12" s="84" t="str">
        <x:v>Not Started</x:v>
      </x:c>
      <x:c r="L12" s="84" t="str"/>
    </x:row>
    <x:row r="13" ht="57" customHeight="1">
      <x:c r="A13" s="90" t="n">
        <x:v>9</x:v>
      </x:c>
      <x:c r="B13" s="90" t="n">
        <x:v>2</x:v>
      </x:c>
      <x:c r="C13" s="90" t="str">
        <x:v>APIs + FastAPI + PostgreSQL</x:v>
      </x:c>
      <x:c r="D13" s="84" t="str">
        <x:v>FastAPI fundamentals; ASGI; app/router; Pydantic models; request/response validation; dependency injection; middleware; exception handlers; sync vs async endpoints</x:v>
      </x:c>
      <x:c r="E13" s="84" t="str">
        <x:v>Implement routers, schemas, service layer, global error format and request logging.</x:v>
      </x:c>
      <x:c r="F13" s="84" t="str">
        <x:v>Linked list: Reorder List, Remove Nth Node From End.</x:v>
      </x:c>
      <x:c r="G13" s="84" t="str">
        <x:v>WSGI vs ASGI; middleware pipeline.</x:v>
      </x:c>
      <x:c r="H13" s="84" t="str">
        <x:v>Explain FastAPI dependency injection and request lifecycle.</x:v>
      </x:c>
      <x:c r="I13" s="94" t="n">
        <x:v>10</x:v>
      </x:c>
      <x:c r="J13" s="94" t="n">
        <x:v>20</x:v>
      </x:c>
      <x:c r="K13" s="84" t="str">
        <x:v>Not Started</x:v>
      </x:c>
      <x:c r="L13" s="84" t="str"/>
    </x:row>
    <x:row r="14" ht="57" customHeight="1">
      <x:c r="A14" s="90" t="n">
        <x:v>10</x:v>
      </x:c>
      <x:c r="B14" s="90" t="n">
        <x:v>2</x:v>
      </x:c>
      <x:c r="C14" s="90" t="str">
        <x:v>APIs + FastAPI + PostgreSQL</x:v>
      </x:c>
      <x:c r="D14" s="84" t="str">
        <x:v>PostgreSQL + SQL core; DDL/DML; PK/FK/unique/check; joins; GROUP BY/HAVING; subqueries; CTEs; NULL semantics; transactions</x:v>
      </x:c>
      <x:c r="E14" s="84" t="str">
        <x:v>Design normalized capstone schema and write 15 SQL queries by hand.</x:v>
      </x:c>
      <x:c r="F14" s="84" t="str">
        <x:v>Trees: DFS/BFS basics; Maximum Depth, Invert Binary Tree, Same Tree.</x:v>
      </x:c>
      <x:c r="G14" s="84" t="str">
        <x:v>ACID; isolation overview; normalization 1NF-3NF.</x:v>
      </x:c>
      <x:c r="H14" s="84" t="str">
        <x:v>Write JOIN + aggregation queries without ORM.</x:v>
      </x:c>
      <x:c r="I14" s="94" t="n">
        <x:v>10</x:v>
      </x:c>
      <x:c r="J14" s="94" t="n">
        <x:v>20</x:v>
      </x:c>
      <x:c r="K14" s="84" t="str">
        <x:v>Not Started</x:v>
      </x:c>
      <x:c r="L14" s="84" t="str"/>
    </x:row>
    <x:row r="15" ht="57" customHeight="1">
      <x:c r="A15" s="90" t="n">
        <x:v>11</x:v>
      </x:c>
      <x:c r="B15" s="90" t="n">
        <x:v>2</x:v>
      </x:c>
      <x:c r="C15" s="90" t="str">
        <x:v>APIs + FastAPI + PostgreSQL</x:v>
      </x:c>
      <x:c r="D15" s="84" t="str">
        <x:v>ORM + migrations; SQLAlchemy/ORM concepts; session/unit of work; relationships; eager/lazy loading; N+1; Alembic migrations; seed data</x:v>
      </x:c>
      <x:c r="E15" s="84" t="str">
        <x:v>Implement repository persistence, relationships and migrations; deliberately reproduce and fix N+1.</x:v>
      </x:c>
      <x:c r="F15" s="84" t="str">
        <x:v>Trees: Diameter of Binary Tree, Balanced Binary Tree, Subtree of Another Tree.</x:v>
      </x:c>
      <x:c r="G15" s="84" t="str">
        <x:v>ORM tradeoffs; transaction boundaries.</x:v>
      </x:c>
      <x:c r="H15" s="84" t="str">
        <x:v>Explain N+1 and demonstrate your fix.</x:v>
      </x:c>
      <x:c r="I15" s="94" t="n">
        <x:v>10</x:v>
      </x:c>
      <x:c r="J15" s="94" t="n">
        <x:v>20</x:v>
      </x:c>
      <x:c r="K15" s="84" t="str">
        <x:v>Not Started</x:v>
      </x:c>
      <x:c r="L15" s="84" t="str"/>
    </x:row>
    <x:row r="16" ht="57" customHeight="1">
      <x:c r="A16" s="90" t="n">
        <x:v>12</x:v>
      </x:c>
      <x:c r="B16" s="90" t="n">
        <x:v>2</x:v>
      </x:c>
      <x:c r="C16" s="90" t="str">
        <x:v>APIs + FastAPI + PostgreSQL</x:v>
      </x:c>
      <x:c r="D16" s="84" t="str">
        <x:v>Authentication; Password hashing; sessions vs JWT; access/refresh tokens; OAuth2 concepts; authentication vs authorization; token expiry/revocation</x:v>
      </x:c>
      <x:c r="E16" s="84" t="str">
        <x:v>Implement signup/login/refresh/logout and protected endpoints; tests for invalid/expired credentials.</x:v>
      </x:c>
      <x:c r="F16" s="84" t="str">
        <x:v>BST: Lowest Common Ancestor, Validate BST, Kth Smallest.</x:v>
      </x:c>
      <x:c r="G16" s="84" t="str">
        <x:v>Security: hashing vs encryption; salt; basic OWASP auth risks.</x:v>
      </x:c>
      <x:c r="H16" s="84" t="str">
        <x:v>Whiteboard secure authentication flow.</x:v>
      </x:c>
      <x:c r="I16" s="94" t="n">
        <x:v>10</x:v>
      </x:c>
      <x:c r="J16" s="94" t="n">
        <x:v>20</x:v>
      </x:c>
      <x:c r="K16" s="84" t="str">
        <x:v>Not Started</x:v>
      </x:c>
      <x:c r="L16" s="84" t="str"/>
    </x:row>
    <x:row r="17" ht="57" customHeight="1">
      <x:c r="A17" s="90" t="n">
        <x:v>13</x:v>
      </x:c>
      <x:c r="B17" s="90" t="n">
        <x:v>2</x:v>
      </x:c>
      <x:c r="C17" s="90" t="str">
        <x:v>APIs + FastAPI + PostgreSQL</x:v>
      </x:c>
      <x:c r="D17" s="84" t="str">
        <x:v>Multi-tenancy + RBAC; Tenant isolation models; organization/workspace membership; roles/permissions; row ownership; authorization dependencies</x:v>
      </x:c>
      <x:c r="E17" s="84" t="str">
        <x:v>Add organizations, memberships, roles and tenant-scoped queries. Write tests proving cross-tenant access is blocked.</x:v>
      </x:c>
      <x:c r="F17" s="84" t="str">
        <x:v>Tree BFS: Level Order Traversal, Right Side View.</x:v>
      </x:c>
      <x:c r="G17" s="84" t="str">
        <x:v>RBAC vs ABAC; tenant isolation tradeoffs.</x:v>
      </x:c>
      <x:c r="H17" s="84" t="str">
        <x:v>Explain how your SaaS prevents tenant A reading tenant B data.</x:v>
      </x:c>
      <x:c r="I17" s="94" t="n">
        <x:v>10</x:v>
      </x:c>
      <x:c r="J17" s="94" t="n">
        <x:v>20</x:v>
      </x:c>
      <x:c r="K17" s="84" t="str">
        <x:v>Not Started</x:v>
      </x:c>
      <x:c r="L17" s="84" t="str"/>
    </x:row>
    <x:row r="18" ht="57" customHeight="1">
      <x:c r="A18" s="90" t="n">
        <x:v>14</x:v>
      </x:c>
      <x:c r="B18" s="90" t="n">
        <x:v>2</x:v>
      </x:c>
      <x:c r="C18" s="90" t="str">
        <x:v>APIs + FastAPI + PostgreSQL</x:v>
      </x:c>
      <x:c r="D18" s="84" t="str">
        <x:v>API production review; Rate limiting concepts; pagination strategies; API errors; validation; API docs; integration tests</x:v>
      </x:c>
      <x:c r="E18" s="84" t="str">
        <x:v>Finish v1 API, Swagger docs, Postman/curl smoke tests, integration tests.</x:v>
      </x:c>
      <x:c r="F18" s="84" t="str">
        <x:v>Timed set: 4 Week-2 problems.</x:v>
      </x:c>
      <x:c r="G18" s="84" t="str">
        <x:v>Offset vs cursor pagination; API versioning.</x:v>
      </x:c>
      <x:c r="H18" s="84" t="str">
        <x:v>45-min backend/API mock interview.</x:v>
      </x:c>
      <x:c r="I18" s="94" t="n">
        <x:v>10</x:v>
      </x:c>
      <x:c r="J18" s="94" t="n">
        <x:v>20</x:v>
      </x:c>
      <x:c r="K18" s="84" t="str">
        <x:v>Not Started</x:v>
      </x:c>
      <x:c r="L18" s="84" t="str"/>
    </x:row>
    <x:row r="19" ht="57" customHeight="1">
      <x:c r="A19" s="88" t="n">
        <x:v>15</x:v>
      </x:c>
      <x:c r="B19" s="88" t="n">
        <x:v>3</x:v>
      </x:c>
      <x:c r="C19" s="88" t="str">
        <x:v>Django/DRF + SaaS Architecture</x:v>
      </x:c>
      <x:c r="D19" s="84" t="str">
        <x:v>Django internals; Project/app structure; settings; models; QuerySets; managers; migrations; middleware; signals; admin; request lifecycle</x:v>
      </x:c>
      <x:c r="E19" s="84" t="str">
        <x:v>Build equivalent small module in Django; model + migration + admin + service.</x:v>
      </x:c>
      <x:c r="F19" s="84" t="str">
        <x:v>Heap/priority queue: Kth Largest, Last Stone Weight.</x:v>
      </x:c>
      <x:c r="G19" s="84" t="str">
        <x:v>MVC/MVT; framework request lifecycle.</x:v>
      </x:c>
      <x:c r="H19" s="84" t="str">
        <x:v>Compare Django vs FastAPI for your SaaS.</x:v>
      </x:c>
      <x:c r="I19" s="94" t="n">
        <x:v>10</x:v>
      </x:c>
      <x:c r="J19" s="94" t="n">
        <x:v>20</x:v>
      </x:c>
      <x:c r="K19" s="84" t="str">
        <x:v>Not Started</x:v>
      </x:c>
      <x:c r="L19" s="84" t="str"/>
    </x:row>
    <x:row r="20" ht="57" customHeight="1">
      <x:c r="A20" s="88" t="n">
        <x:v>16</x:v>
      </x:c>
      <x:c r="B20" s="88" t="n">
        <x:v>3</x:v>
      </x:c>
      <x:c r="C20" s="88" t="str">
        <x:v>Django/DRF + SaaS Architecture</x:v>
      </x:c>
      <x:c r="D20" s="84" t="str">
        <x:v>Django REST Framework; Serializer/ModelSerializer; APIView/ViewSet; routers; permissions; authentication; pagination; filtering; throttling</x:v>
      </x:c>
      <x:c r="E20" s="84" t="str">
        <x:v>Implement DRF CRUD + permissions for one capstone domain.</x:v>
      </x:c>
      <x:c r="F20" s="84" t="str">
        <x:v>Heap: K Closest Points, Task Scheduler.</x:v>
      </x:c>
      <x:c r="G20" s="84" t="str">
        <x:v>API abstraction tradeoffs.</x:v>
      </x:c>
      <x:c r="H20" s="84" t="str">
        <x:v>Explain serializer validation and permission flow.</x:v>
      </x:c>
      <x:c r="I20" s="94" t="n">
        <x:v>10</x:v>
      </x:c>
      <x:c r="J20" s="94" t="n">
        <x:v>20</x:v>
      </x:c>
      <x:c r="K20" s="84" t="str">
        <x:v>Not Started</x:v>
      </x:c>
      <x:c r="L20" s="84" t="str"/>
    </x:row>
    <x:row r="21" ht="57" customHeight="1">
      <x:c r="A21" s="88" t="n">
        <x:v>17</x:v>
      </x:c>
      <x:c r="B21" s="88" t="n">
        <x:v>3</x:v>
      </x:c>
      <x:c r="C21" s="88" t="str">
        <x:v>Django/DRF + SaaS Architecture</x:v>
      </x:c>
      <x:c r="D21" s="84" t="str">
        <x:v>Advanced PostgreSQL; B-tree indexes; composite indexes; selectivity; EXPLAIN/EXPLAIN ANALYZE; query plans; locks; deadlocks; connection pooling</x:v>
      </x:c>
      <x:c r="E21" s="84" t="str">
        <x:v>Create slow queries, inspect plans, add indexes and record before/after timings.</x:v>
      </x:c>
      <x:c r="F21" s="84" t="str">
        <x:v>Backtracking: Subsets, Combination Sum, Permutations.</x:v>
      </x:c>
      <x:c r="G21" s="84" t="str">
        <x:v>Index design; optimistic vs pessimistic locking.</x:v>
      </x:c>
      <x:c r="H21" s="84" t="str">
        <x:v>Given a slow query, explain your debugging process.</x:v>
      </x:c>
      <x:c r="I21" s="94" t="n">
        <x:v>10</x:v>
      </x:c>
      <x:c r="J21" s="94" t="n">
        <x:v>20</x:v>
      </x:c>
      <x:c r="K21" s="84" t="str">
        <x:v>Not Started</x:v>
      </x:c>
      <x:c r="L21" s="84" t="str"/>
    </x:row>
    <x:row r="22" ht="57" customHeight="1">
      <x:c r="A22" s="88" t="n">
        <x:v>18</x:v>
      </x:c>
      <x:c r="B22" s="88" t="n">
        <x:v>3</x:v>
      </x:c>
      <x:c r="C22" s="88" t="str">
        <x:v>Django/DRF + SaaS Architecture</x:v>
      </x:c>
      <x:c r="D22" s="84" t="str">
        <x:v>Transactions + consistency; Isolation levels; lost update; dirty/non-repeatable/phantom reads; optimistic locking; atomic operations; idempotency keys</x:v>
      </x:c>
      <x:c r="E22" s="84" t="str">
        <x:v>Implement idempotent create/payment-like endpoint and concurrency-safe update.</x:v>
      </x:c>
      <x:c r="F22" s="84" t="str">
        <x:v>Backtracking: Word Search, Palindrome Partitioning.</x:v>
      </x:c>
      <x:c r="G22" s="84" t="str">
        <x:v>CAP at practical level; consistency decisions.</x:v>
      </x:c>
      <x:c r="H22" s="84" t="str">
        <x:v>Explain preventing duplicate orders/payments.</x:v>
      </x:c>
      <x:c r="I22" s="94" t="n">
        <x:v>10</x:v>
      </x:c>
      <x:c r="J22" s="94" t="n">
        <x:v>20</x:v>
      </x:c>
      <x:c r="K22" s="84" t="str">
        <x:v>Not Started</x:v>
      </x:c>
      <x:c r="L22" s="84" t="str"/>
    </x:row>
    <x:row r="23" ht="57" customHeight="1">
      <x:c r="A23" s="88" t="n">
        <x:v>19</x:v>
      </x:c>
      <x:c r="B23" s="88" t="n">
        <x:v>3</x:v>
      </x:c>
      <x:c r="C23" s="88" t="str">
        <x:v>Django/DRF + SaaS Architecture</x:v>
      </x:c>
      <x:c r="D23" s="84" t="str">
        <x:v>File/object storage + webhooks; Multipart uploads; presigned URL concept; object storage; webhook signatures; retries; idempotent webhook consumers</x:v>
      </x:c>
      <x:c r="E23" s="84" t="str">
        <x:v>Add file upload abstraction and signed webhook receiver with event table.</x:v>
      </x:c>
      <x:c r="F23" s="84" t="str">
        <x:v>Graphs: Number of Islands, Clone Graph.</x:v>
      </x:c>
      <x:c r="G23" s="84" t="str">
        <x:v>At-least-once delivery; webhook reliability.</x:v>
      </x:c>
      <x:c r="H23" s="84" t="str">
        <x:v>Design reliable payment webhook handling.</x:v>
      </x:c>
      <x:c r="I23" s="94" t="n">
        <x:v>10</x:v>
      </x:c>
      <x:c r="J23" s="94" t="n">
        <x:v>20</x:v>
      </x:c>
      <x:c r="K23" s="84" t="str">
        <x:v>Not Started</x:v>
      </x:c>
      <x:c r="L23" s="84" t="str"/>
    </x:row>
    <x:row r="24" ht="57" customHeight="1">
      <x:c r="A24" s="88" t="n">
        <x:v>20</x:v>
      </x:c>
      <x:c r="B24" s="88" t="n">
        <x:v>3</x:v>
      </x:c>
      <x:c r="C24" s="88" t="str">
        <x:v>Django/DRF + SaaS Architecture</x:v>
      </x:c>
      <x:c r="D24" s="84" t="str">
        <x:v>SaaS domain design; Plans/subscriptions concepts; feature flags; quotas; audit logs; soft delete; created/updated/by metadata</x:v>
      </x:c>
      <x:c r="E24" s="84" t="str">
        <x:v>Add plans/entitlements or quotas + audit log to capstone.</x:v>
      </x:c>
      <x:c r="F24" s="84" t="str">
        <x:v>Graphs: Course Schedule, Pacific Atlantic Water Flow.</x:v>
      </x:c>
      <x:c r="G24" s="84" t="str">
        <x:v>Domain boundaries; auditability.</x:v>
      </x:c>
      <x:c r="H24" s="84" t="str">
        <x:v>Explain schema decisions and tradeoffs.</x:v>
      </x:c>
      <x:c r="I24" s="94" t="n">
        <x:v>10</x:v>
      </x:c>
      <x:c r="J24" s="94" t="n">
        <x:v>20</x:v>
      </x:c>
      <x:c r="K24" s="84" t="str">
        <x:v>Not Started</x:v>
      </x:c>
      <x:c r="L24" s="84" t="str"/>
    </x:row>
    <x:row r="25" ht="57" customHeight="1">
      <x:c r="A25" s="88" t="n">
        <x:v>21</x:v>
      </x:c>
      <x:c r="B25" s="88" t="n">
        <x:v>3</x:v>
      </x:c>
      <x:c r="C25" s="88" t="str">
        <x:v>Django/DRF + SaaS Architecture</x:v>
      </x:c>
      <x:c r="D25" s="84" t="str">
        <x:v>Week 3 architecture review; Review Django/FastAPI/Postgres; architecture diagrams; ADR concept</x:v>
      </x:c>
      <x:c r="E25" s="84" t="str">
        <x:v>Create C4-ish context/container diagram + DB ERD + 2 architecture decision records.</x:v>
      </x:c>
      <x:c r="F25" s="84" t="str">
        <x:v>Timed mixed set: 4 Week-3 problems.</x:v>
      </x:c>
      <x:c r="G25" s="84" t="str">
        <x:v>System-design requirements gathering.</x:v>
      </x:c>
      <x:c r="H25" s="84" t="str">
        <x:v>Present capstone architecture in 10 minutes.</x:v>
      </x:c>
      <x:c r="I25" s="94" t="n">
        <x:v>10</x:v>
      </x:c>
      <x:c r="J25" s="94" t="n">
        <x:v>20</x:v>
      </x:c>
      <x:c r="K25" s="84" t="str">
        <x:v>Not Started</x:v>
      </x:c>
      <x:c r="L25" s="84" t="str"/>
    </x:row>
    <x:row r="26" ht="57" customHeight="1">
      <x:c r="A26" s="90" t="n">
        <x:v>22</x:v>
      </x:c>
      <x:c r="B26" s="90" t="n">
        <x:v>4</x:v>
      </x:c>
      <x:c r="C26" s="90" t="str">
        <x:v>Redis + Workers + Docker + Reliability</x:v>
      </x:c>
      <x:c r="D26" s="84" t="str">
        <x:v>Redis fundamentals; In-memory data structures; TTL; cache-aside; invalidation; eviction; cache stampede; distributed lock concept</x:v>
      </x:c>
      <x:c r="E26" s="84" t="str">
        <x:v>Cache one expensive endpoint; measure hit/miss latency; implement invalidation.</x:v>
      </x:c>
      <x:c r="F26" s="84" t="str">
        <x:v>Graphs BFS/DFS: Rotting Oranges, Graph Valid Tree.</x:v>
      </x:c>
      <x:c r="G26" s="84" t="str">
        <x:v>Caching tradeoffs and consistency.</x:v>
      </x:c>
      <x:c r="H26" s="84" t="str">
        <x:v>Explain what you cache, key design, TTL and invalidation.</x:v>
      </x:c>
      <x:c r="I26" s="94" t="n">
        <x:v>10</x:v>
      </x:c>
      <x:c r="J26" s="94" t="n">
        <x:v>20</x:v>
      </x:c>
      <x:c r="K26" s="84" t="str">
        <x:v>Not Started</x:v>
      </x:c>
      <x:c r="L26" s="84" t="str"/>
    </x:row>
    <x:row r="27" ht="57" customHeight="1">
      <x:c r="A27" s="90" t="n">
        <x:v>23</x:v>
      </x:c>
      <x:c r="B27" s="90" t="n">
        <x:v>4</x:v>
      </x:c>
      <x:c r="C27" s="90" t="str">
        <x:v>Redis + Workers + Docker + Reliability</x:v>
      </x:c>
      <x:c r="D27" s="84" t="str">
        <x:v>Background jobs / Celery; Broker vs backend; task lifecycle; retries/backoff; idempotent jobs; scheduling; poison messages; dead-letter concept</x:v>
      </x:c>
      <x:c r="E27" s="84" t="str">
        <x:v>Move email/report processing to Celery/worker; retry with exponential backoff.</x:v>
      </x:c>
      <x:c r="F27" s="84" t="str">
        <x:v>Advanced graphs: Network Delay Time, Cheapest Flights Within K Stops.</x:v>
      </x:c>
      <x:c r="G27" s="84" t="str">
        <x:v>Queues, delivery semantics, backpressure.</x:v>
      </x:c>
      <x:c r="H27" s="84" t="str">
        <x:v>Design reliable background email/report processing.</x:v>
      </x:c>
      <x:c r="I27" s="94" t="n">
        <x:v>10</x:v>
      </x:c>
      <x:c r="J27" s="94" t="n">
        <x:v>20</x:v>
      </x:c>
      <x:c r="K27" s="84" t="str">
        <x:v>Not Started</x:v>
      </x:c>
      <x:c r="L27" s="84" t="str"/>
    </x:row>
    <x:row r="28" ht="57" customHeight="1">
      <x:c r="A28" s="90" t="n">
        <x:v>24</x:v>
      </x:c>
      <x:c r="B28" s="90" t="n">
        <x:v>4</x:v>
      </x:c>
      <x:c r="C28" s="90" t="str">
        <x:v>Redis + Workers + Docker + Reliability</x:v>
      </x:c>
      <x:c r="D28" s="84" t="str">
        <x:v>Docker fundamentals; Images/layers; Dockerfile; build context; COPY; RUN; CMD/ENTRYPOINT; env; volumes; networks; multi-stage builds</x:v>
      </x:c>
      <x:c r="E28" s="84" t="str">
        <x:v>Dockerize API; create production-minded Dockerfile; inspect image size.</x:v>
      </x:c>
      <x:c r="F28" s="84" t="str">
        <x:v>1-D DP: Climbing Stairs, House Robber, Coin Change.</x:v>
      </x:c>
      <x:c r="G28" s="84" t="str">
        <x:v>Containers vs VMs; process model.</x:v>
      </x:c>
      <x:c r="H28" s="84" t="str">
        <x:v>Explain every line of your Dockerfile.</x:v>
      </x:c>
      <x:c r="I28" s="94" t="n">
        <x:v>10</x:v>
      </x:c>
      <x:c r="J28" s="94" t="n">
        <x:v>20</x:v>
      </x:c>
      <x:c r="K28" s="84" t="str">
        <x:v>Not Started</x:v>
      </x:c>
      <x:c r="L28" s="84" t="str"/>
    </x:row>
    <x:row r="29" ht="57" customHeight="1">
      <x:c r="A29" s="90" t="n">
        <x:v>25</x:v>
      </x:c>
      <x:c r="B29" s="90" t="n">
        <x:v>4</x:v>
      </x:c>
      <x:c r="C29" s="90" t="str">
        <x:v>Redis + Workers + Docker + Reliability</x:v>
      </x:c>
      <x:c r="D29" s="84" t="str">
        <x:v>Docker Compose + local stack; Compose services; health checks; dependency readiness; volumes; networks; PostgreSQL/Redis/worker topology</x:v>
      </x:c>
      <x:c r="E29" s="84" t="str">
        <x:v>Run API + Postgres + Redis + worker using compose; one-command local startup.</x:v>
      </x:c>
      <x:c r="F29" s="84" t="str">
        <x:v>1-D DP: Longest Increasing Subsequence, Partition Equal Subset Sum.</x:v>
      </x:c>
      <x:c r="G29" s="84" t="str">
        <x:v>Service discovery and health/readiness.</x:v>
      </x:c>
      <x:c r="H29" s="84" t="str">
        <x:v>Debug a deliberately broken container stack.</x:v>
      </x:c>
      <x:c r="I29" s="94" t="n">
        <x:v>10</x:v>
      </x:c>
      <x:c r="J29" s="94" t="n">
        <x:v>20</x:v>
      </x:c>
      <x:c r="K29" s="84" t="str">
        <x:v>Not Started</x:v>
      </x:c>
      <x:c r="L29" s="84" t="str"/>
    </x:row>
    <x:row r="30" ht="57" customHeight="1">
      <x:c r="A30" s="90" t="n">
        <x:v>26</x:v>
      </x:c>
      <x:c r="B30" s="90" t="n">
        <x:v>4</x:v>
      </x:c>
      <x:c r="C30" s="90" t="str">
        <x:v>Redis + Workers + Docker + Reliability</x:v>
      </x:c>
      <x:c r="D30" s="84" t="str">
        <x:v>Reliability patterns; Timeout; retry; exponential backoff+jitter; circuit breaker; bulkhead concept; graceful degradation; idempotency</x:v>
      </x:c>
      <x:c r="E30" s="84" t="str">
        <x:v>Wrap external API integration with timeout/retry/circuit-breaker-like protection and failure tests.</x:v>
      </x:c>
      <x:c r="F30" s="84" t="str">
        <x:v>Intervals: Insert Interval, Merge Intervals, Non-overlapping Intervals.</x:v>
      </x:c>
      <x:c r="G30" s="84" t="str">
        <x:v>Failure modes; retry storms.</x:v>
      </x:c>
      <x:c r="H30" s="84" t="str">
        <x:v>Answer: when should you NOT retry?</x:v>
      </x:c>
      <x:c r="I30" s="94" t="n">
        <x:v>10</x:v>
      </x:c>
      <x:c r="J30" s="94" t="n">
        <x:v>20</x:v>
      </x:c>
      <x:c r="K30" s="84" t="str">
        <x:v>Not Started</x:v>
      </x:c>
      <x:c r="L30" s="84" t="str"/>
    </x:row>
    <x:row r="31" ht="57" customHeight="1">
      <x:c r="A31" s="90" t="n">
        <x:v>27</x:v>
      </x:c>
      <x:c r="B31" s="90" t="n">
        <x:v>4</x:v>
      </x:c>
      <x:c r="C31" s="90" t="str">
        <x:v>Redis + Workers + Docker + Reliability</x:v>
      </x:c>
      <x:c r="D31" s="84" t="str">
        <x:v>Testing production services; Integration tests; test DB; fixtures/factories; contract tests concept; load testing basics; pytest async</x:v>
      </x:c>
      <x:c r="E31" s="84" t="str">
        <x:v>Create integration test suite for auth/tenant/cache/jobs; simple load test and capture baseline.</x:v>
      </x:c>
      <x:c r="F31" s="84" t="str">
        <x:v>Greedy: Maximum Subarray, Jump Game.</x:v>
      </x:c>
      <x:c r="G31" s="84" t="str">
        <x:v>Latency percentiles p50/p95/p99; throughput.</x:v>
      </x:c>
      <x:c r="H31" s="84" t="str">
        <x:v>Explain your testing strategy and production confidence.</x:v>
      </x:c>
      <x:c r="I31" s="94" t="n">
        <x:v>10</x:v>
      </x:c>
      <x:c r="J31" s="94" t="n">
        <x:v>20</x:v>
      </x:c>
      <x:c r="K31" s="84" t="str">
        <x:v>Not Started</x:v>
      </x:c>
      <x:c r="L31" s="84" t="str"/>
    </x:row>
    <x:row r="32" ht="57" customHeight="1">
      <x:c r="A32" s="90" t="n">
        <x:v>28</x:v>
      </x:c>
      <x:c r="B32" s="90" t="n">
        <x:v>4</x:v>
      </x:c>
      <x:c r="C32" s="90" t="str">
        <x:v>Redis + Workers + Docker + Reliability</x:v>
      </x:c>
      <x:c r="D32" s="84" t="str">
        <x:v>Week 4 incident drill; Debug methodology; logs/metrics/traces distinction; postmortem structure</x:v>
      </x:c>
      <x:c r="E32" s="84" t="str">
        <x:v>Create Incident #1: introduce DB/cache/worker failure, diagnose, fix, write 1-page postmortem.</x:v>
      </x:c>
      <x:c r="F32" s="84" t="str">
        <x:v>Timed mixed set: 4 problems.</x:v>
      </x:c>
      <x:c r="G32" s="84" t="str">
        <x:v>Incident response and root-cause analysis.</x:v>
      </x:c>
      <x:c r="H32" s="84" t="str">
        <x:v>45-min production-debugging mock.</x:v>
      </x:c>
      <x:c r="I32" s="94" t="n">
        <x:v>10</x:v>
      </x:c>
      <x:c r="J32" s="94" t="n">
        <x:v>20</x:v>
      </x:c>
      <x:c r="K32" s="84" t="str">
        <x:v>Not Started</x:v>
      </x:c>
      <x:c r="L32" s="84" t="str"/>
    </x:row>
    <x:row r="33" ht="57" customHeight="1">
      <x:c r="A33" s="88" t="n">
        <x:v>29</x:v>
      </x:c>
      <x:c r="B33" s="88" t="n">
        <x:v>5</x:v>
      </x:c>
      <x:c r="C33" s="88" t="str">
        <x:v>Cloud + CI/CD + Production Deployment</x:v>
      </x:c>
      <x:c r="D33" s="84" t="str">
        <x:v>AWS fundamentals; Regions/AZs; EC2; VPC high-level; security groups; IAM users/roles/policies; least privilege; S3; RDS overview</x:v>
      </x:c>
      <x:c r="E33" s="84" t="str">
        <x:v>Create deployment architecture plan; IAM/security checklist; map capstone components to AWS.</x:v>
      </x:c>
      <x:c r="F33" s="84" t="str">
        <x:v>Matrix: Set Matrix Zeroes, Spiral Matrix, Rotate Image.</x:v>
      </x:c>
      <x:c r="G33" s="84" t="str">
        <x:v>Horizontal vs vertical scaling; stateless services.</x:v>
      </x:c>
      <x:c r="H33" s="84" t="str">
        <x:v>Design a basic AWS deployment verbally.</x:v>
      </x:c>
      <x:c r="I33" s="94" t="n">
        <x:v>10</x:v>
      </x:c>
      <x:c r="J33" s="94" t="n">
        <x:v>20</x:v>
      </x:c>
      <x:c r="K33" s="84" t="str">
        <x:v>Not Started</x:v>
      </x:c>
      <x:c r="L33" s="84" t="str"/>
    </x:row>
    <x:row r="34" ht="57" customHeight="1">
      <x:c r="A34" s="88" t="n">
        <x:v>30</x:v>
      </x:c>
      <x:c r="B34" s="88" t="n">
        <x:v>5</x:v>
      </x:c>
      <x:c r="C34" s="88" t="str">
        <x:v>Cloud + CI/CD + Production Deployment</x:v>
      </x:c>
      <x:c r="D34" s="84" t="str">
        <x:v>Linux server + Nginx; SSH keys; users; permissions; systemd; logs; reverse proxy; TLS termination concept; proxy headers; firewall basics</x:v>
      </x:c>
      <x:c r="E34" s="84" t="str">
        <x:v>Deploy API on Linux VM; Nginx reverse proxy; service restart/log procedure.</x:v>
      </x:c>
      <x:c r="F34" s="84" t="str">
        <x:v>Bit manipulation: Single Number, Counting Bits, Missing Number.</x:v>
      </x:c>
      <x:c r="G34" s="84" t="str">
        <x:v>Reverse proxy vs app server; ports/TLS.</x:v>
      </x:c>
      <x:c r="H34" s="84" t="str">
        <x:v>Troubleshoot 502 Bad Gateway scenario.</x:v>
      </x:c>
      <x:c r="I34" s="94" t="n">
        <x:v>10</x:v>
      </x:c>
      <x:c r="J34" s="94" t="n">
        <x:v>20</x:v>
      </x:c>
      <x:c r="K34" s="84" t="str">
        <x:v>Not Started</x:v>
      </x:c>
      <x:c r="L34" s="84" t="str"/>
    </x:row>
    <x:row r="35" ht="57" customHeight="1">
      <x:c r="A35" s="88" t="n">
        <x:v>31</x:v>
      </x:c>
      <x:c r="B35" s="88" t="n">
        <x:v>5</x:v>
      </x:c>
      <x:c r="C35" s="88" t="str">
        <x:v>Cloud + CI/CD + Production Deployment</x:v>
      </x:c>
      <x:c r="D35" s="84" t="str">
        <x:v>CI/CD; Pipeline stages; lint/test/build/deploy; artifacts; environments; secrets; rollback; migrations in deployment</x:v>
      </x:c>
      <x:c r="E35" s="84" t="str">
        <x:v>GitHub Actions pipeline: lint + tests + image/build + deployment step or safe simulated deploy.</x:v>
      </x:c>
      <x:c r="F35" s="84" t="str">
        <x:v>Mixed medium set: 3 problems.</x:v>
      </x:c>
      <x:c r="G35" s="84" t="str">
        <x:v>Blue/green vs rolling vs canary concepts.</x:v>
      </x:c>
      <x:c r="H35" s="84" t="str">
        <x:v>Explain safe DB migrations during deployment.</x:v>
      </x:c>
      <x:c r="I35" s="94" t="n">
        <x:v>10</x:v>
      </x:c>
      <x:c r="J35" s="94" t="n">
        <x:v>20</x:v>
      </x:c>
      <x:c r="K35" s="84" t="str">
        <x:v>Not Started</x:v>
      </x:c>
      <x:c r="L35" s="84" t="str"/>
    </x:row>
    <x:row r="36" ht="57" customHeight="1">
      <x:c r="A36" s="88" t="n">
        <x:v>32</x:v>
      </x:c>
      <x:c r="B36" s="88" t="n">
        <x:v>5</x:v>
      </x:c>
      <x:c r="C36" s="88" t="str">
        <x:v>Cloud + CI/CD + Production Deployment</x:v>
      </x:c>
      <x:c r="D36" s="84" t="str">
        <x:v>Observability; Structured logs; correlation/request IDs; metrics; counters/gauges/histograms; traces; alerting; SLI/SLO basics</x:v>
      </x:c>
      <x:c r="E36" s="84" t="str">
        <x:v>Add request IDs, latency/error metrics or equivalent instrumentation; create operational dashboard plan.</x:v>
      </x:c>
      <x:c r="F36" s="84" t="str">
        <x:v>Re-solve 3 previously failed DSA problems.</x:v>
      </x:c>
      <x:c r="G36" s="84" t="str">
        <x:v>p95 latency; error rate; saturation; SLO/error budget basics.</x:v>
      </x:c>
      <x:c r="H36" s="84" t="str">
        <x:v>What would you monitor on your API?</x:v>
      </x:c>
      <x:c r="I36" s="94" t="n">
        <x:v>10</x:v>
      </x:c>
      <x:c r="J36" s="94" t="n">
        <x:v>20</x:v>
      </x:c>
      <x:c r="K36" s="84" t="str">
        <x:v>Not Started</x:v>
      </x:c>
      <x:c r="L36" s="84" t="str"/>
    </x:row>
    <x:row r="37" ht="57" customHeight="1">
      <x:c r="A37" s="88" t="n">
        <x:v>33</x:v>
      </x:c>
      <x:c r="B37" s="88" t="n">
        <x:v>5</x:v>
      </x:c>
      <x:c r="C37" s="88" t="str">
        <x:v>Cloud + CI/CD + Production Deployment</x:v>
      </x:c>
      <x:c r="D37" s="84" t="str">
        <x:v>Security hardening; OWASP API risks; CORS; CSRF; SQL injection; XSS context; SSRF concept; secrets; dependency scanning; rate limiting</x:v>
      </x:c>
      <x:c r="E37" s="84" t="str">
        <x:v>Threat-model capstone; fix top risks; security checklist.</x:v>
      </x:c>
      <x:c r="F37" s="84" t="str">
        <x:v>Timed 2 mediums.</x:v>
      </x:c>
      <x:c r="G37" s="84" t="str">
        <x:v>TLS, CORS vs CSRF; principle of least privilege.</x:v>
      </x:c>
      <x:c r="H37" s="84" t="str">
        <x:v>Security review mock: attacker scenarios.</x:v>
      </x:c>
      <x:c r="I37" s="94" t="n">
        <x:v>10</x:v>
      </x:c>
      <x:c r="J37" s="94" t="n">
        <x:v>20</x:v>
      </x:c>
      <x:c r="K37" s="84" t="str">
        <x:v>Not Started</x:v>
      </x:c>
      <x:c r="L37" s="84" t="str"/>
    </x:row>
    <x:row r="38" ht="57" customHeight="1">
      <x:c r="A38" s="88" t="n">
        <x:v>34</x:v>
      </x:c>
      <x:c r="B38" s="88" t="n">
        <x:v>5</x:v>
      </x:c>
      <x:c r="C38" s="88" t="str">
        <x:v>Cloud + CI/CD + Production Deployment</x:v>
      </x:c>
      <x:c r="D38" s="84" t="str">
        <x:v>Performance + load; Profiling; DB bottlenecks; caching; connection pools; async I/O; load test design; capacity thinking</x:v>
      </x:c>
      <x:c r="E38" s="84" t="str">
        <x:v>Run load test; identify bottleneck; optimize one measurable issue; record before/after.</x:v>
      </x:c>
      <x:c r="F38" s="84" t="str">
        <x:v>Timed 3 mixed problems.</x:v>
      </x:c>
      <x:c r="G38" s="84" t="str">
        <x:v>Little's Law intuition; throughput vs latency.</x:v>
      </x:c>
      <x:c r="H38" s="84" t="str">
        <x:v>Explain a real performance optimization with numbers.</x:v>
      </x:c>
      <x:c r="I38" s="94" t="n">
        <x:v>10</x:v>
      </x:c>
      <x:c r="J38" s="94" t="n">
        <x:v>20</x:v>
      </x:c>
      <x:c r="K38" s="84" t="str">
        <x:v>Not Started</x:v>
      </x:c>
      <x:c r="L38" s="84" t="str"/>
    </x:row>
    <x:row r="39" ht="57" customHeight="1">
      <x:c r="A39" s="88" t="n">
        <x:v>35</x:v>
      </x:c>
      <x:c r="B39" s="88" t="n">
        <x:v>5</x:v>
      </x:c>
      <x:c r="C39" s="88" t="str">
        <x:v>Cloud + CI/CD + Production Deployment</x:v>
      </x:c>
      <x:c r="D39" s="84" t="str">
        <x:v>Production release; Backup/restore; migrations; rollback; runbooks; health/readiness; release checklist</x:v>
      </x:c>
      <x:c r="E39" s="84" t="str">
        <x:v>Deploy production version; write runbook + backup/restore procedure + release checklist.</x:v>
      </x:c>
      <x:c r="F39" s="84" t="str">
        <x:v>Week-5 mixed contest: 4 problems.</x:v>
      </x:c>
      <x:c r="G39" s="84" t="str">
        <x:v>Disaster recovery RPO/RTO concepts.</x:v>
      </x:c>
      <x:c r="H39" s="84" t="str">
        <x:v>Give a 10-minute production-readiness review.</x:v>
      </x:c>
      <x:c r="I39" s="94" t="n">
        <x:v>10</x:v>
      </x:c>
      <x:c r="J39" s="94" t="n">
        <x:v>20</x:v>
      </x:c>
      <x:c r="K39" s="84" t="str">
        <x:v>Not Started</x:v>
      </x:c>
      <x:c r="L39" s="84" t="str"/>
    </x:row>
    <x:row r="40" ht="57" customHeight="1">
      <x:c r="A40" s="90" t="n">
        <x:v>36</x:v>
      </x:c>
      <x:c r="B40" s="90" t="n">
        <x:v>6</x:v>
      </x:c>
      <x:c r="C40" s="90" t="str">
        <x:v>System Design + Backend Interview Depth</x:v>
      </x:c>
      <x:c r="D40" s="84" t="str">
        <x:v>System design framework; Functional/non-functional requirements; estimates; APIs; data model; high-level design; bottlenecks; tradeoffs</x:v>
      </x:c>
      <x:c r="E40" s="84" t="str">
        <x:v>Design URL shortener using structured template; draw architecture.</x:v>
      </x:c>
      <x:c r="F40" s="84" t="str">
        <x:v>Review arrays/hash maps/sliding window: 4 selected problems.</x:v>
      </x:c>
      <x:c r="G40" s="84" t="str">
        <x:v>Capacity estimation: QPS, storage, bandwidth.</x:v>
      </x:c>
      <x:c r="H40" s="84" t="str">
        <x:v>45-min system-design mock: URL shortener.</x:v>
      </x:c>
      <x:c r="I40" s="94" t="n">
        <x:v>10</x:v>
      </x:c>
      <x:c r="J40" s="94" t="n">
        <x:v>20</x:v>
      </x:c>
      <x:c r="K40" s="84" t="str">
        <x:v>Not Started</x:v>
      </x:c>
      <x:c r="L40" s="84" t="str"/>
    </x:row>
    <x:row r="41" ht="57" customHeight="1">
      <x:c r="A41" s="90" t="n">
        <x:v>37</x:v>
      </x:c>
      <x:c r="B41" s="90" t="n">
        <x:v>6</x:v>
      </x:c>
      <x:c r="C41" s="90" t="str">
        <x:v>System Design + Backend Interview Depth</x:v>
      </x:c>
      <x:c r="D41" s="84" t="str">
        <x:v>Scaling databases; Replication; read replicas; partitioning/sharding; indexes; connection pools; consistency; hot keys; pagination</x:v>
      </x:c>
      <x:c r="E41" s="84" t="str">
        <x:v>Design scaling path for capstone from 100 to 1M users; document trigger points.</x:v>
      </x:c>
      <x:c r="F41" s="84" t="str">
        <x:v>Review trees/heaps: 4 selected problems.</x:v>
      </x:c>
      <x:c r="G41" s="84" t="str">
        <x:v>Replication lag; sharding keys.</x:v>
      </x:c>
      <x:c r="H41" s="84" t="str">
        <x:v>Design scalable order/user database.</x:v>
      </x:c>
      <x:c r="I41" s="94" t="n">
        <x:v>10</x:v>
      </x:c>
      <x:c r="J41" s="94" t="n">
        <x:v>20</x:v>
      </x:c>
      <x:c r="K41" s="84" t="str">
        <x:v>Not Started</x:v>
      </x:c>
      <x:c r="L41" s="84" t="str"/>
    </x:row>
    <x:row r="42" ht="57" customHeight="1">
      <x:c r="A42" s="90" t="n">
        <x:v>38</x:v>
      </x:c>
      <x:c r="B42" s="90" t="n">
        <x:v>6</x:v>
      </x:c>
      <x:c r="C42" s="90" t="str">
        <x:v>System Design + Backend Interview Depth</x:v>
      </x:c>
      <x:c r="D42" s="84" t="str">
        <x:v>Caching + CDN + queues; Cache layers; CDN; cache invalidation; message queues; pub/sub; event-driven architecture; ordering</x:v>
      </x:c>
      <x:c r="E42" s="84" t="str">
        <x:v>Design notification system; choose sync vs async boundaries.</x:v>
      </x:c>
      <x:c r="F42" s="84" t="str">
        <x:v>Review graphs: 4 selected problems.</x:v>
      </x:c>
      <x:c r="G42" s="84" t="str">
        <x:v>At-most/at-least/exactly-once terminology and realities.</x:v>
      </x:c>
      <x:c r="H42" s="84" t="str">
        <x:v>System design: notification service.</x:v>
      </x:c>
      <x:c r="I42" s="94" t="n">
        <x:v>10</x:v>
      </x:c>
      <x:c r="J42" s="94" t="n">
        <x:v>20</x:v>
      </x:c>
      <x:c r="K42" s="84" t="str">
        <x:v>Not Started</x:v>
      </x:c>
      <x:c r="L42" s="84" t="str"/>
    </x:row>
    <x:row r="43" ht="57" customHeight="1">
      <x:c r="A43" s="90" t="n">
        <x:v>39</x:v>
      </x:c>
      <x:c r="B43" s="90" t="n">
        <x:v>6</x:v>
      </x:c>
      <x:c r="C43" s="90" t="str">
        <x:v>System Design + Backend Interview Depth</x:v>
      </x:c>
      <x:c r="D43" s="84" t="str">
        <x:v>Distributed systems basics; CAP nuance; consistency models; leader election concept; distributed locks; clock/id generation; idempotency</x:v>
      </x:c>
      <x:c r="E43" s="84" t="str">
        <x:v>Design unique ID strategy and distributed job processing for capstone.</x:v>
      </x:c>
      <x:c r="F43" s="84" t="str">
        <x:v>Review DP: 4 selected problems.</x:v>
      </x:c>
      <x:c r="G43" s="84" t="str">
        <x:v>UUID vs sequence vs Snowflake-style IDs.</x:v>
      </x:c>
      <x:c r="H43" s="84" t="str">
        <x:v>Explain CAP without memorized slogans.</x:v>
      </x:c>
      <x:c r="I43" s="94" t="n">
        <x:v>10</x:v>
      </x:c>
      <x:c r="J43" s="94" t="n">
        <x:v>20</x:v>
      </x:c>
      <x:c r="K43" s="84" t="str">
        <x:v>Not Started</x:v>
      </x:c>
      <x:c r="L43" s="84" t="str"/>
    </x:row>
    <x:row r="44" ht="57" customHeight="1">
      <x:c r="A44" s="90" t="n">
        <x:v>40</x:v>
      </x:c>
      <x:c r="B44" s="90" t="n">
        <x:v>6</x:v>
      </x:c>
      <x:c r="C44" s="90" t="str">
        <x:v>System Design + Backend Interview Depth</x:v>
      </x:c>
      <x:c r="D44" s="84" t="str">
        <x:v>Design common systems; Rate limiter; file storage; search/autocomplete; chat basics; job scheduler</x:v>
      </x:c>
      <x:c r="E44" s="84" t="str">
        <x:v>Design rate limiter + one of file storage/job scheduler.</x:v>
      </x:c>
      <x:c r="F44" s="84" t="str">
        <x:v>Timed 3 mediums.</x:v>
      </x:c>
      <x:c r="G44" s="84" t="str">
        <x:v>Token bucket vs leaky bucket.</x:v>
      </x:c>
      <x:c r="H44" s="84" t="str">
        <x:v>45-min design mock: rate limiter.</x:v>
      </x:c>
      <x:c r="I44" s="94" t="n">
        <x:v>10</x:v>
      </x:c>
      <x:c r="J44" s="94" t="n">
        <x:v>20</x:v>
      </x:c>
      <x:c r="K44" s="84" t="str">
        <x:v>Not Started</x:v>
      </x:c>
      <x:c r="L44" s="84" t="str"/>
    </x:row>
    <x:row r="45" ht="57" customHeight="1">
      <x:c r="A45" s="90" t="n">
        <x:v>41</x:v>
      </x:c>
      <x:c r="B45" s="90" t="n">
        <x:v>6</x:v>
      </x:c>
      <x:c r="C45" s="90" t="str">
        <x:v>System Design + Backend Interview Depth</x:v>
      </x:c>
      <x:c r="D45" s="84" t="str">
        <x:v>Backend interview revision; Python/FastAPI/Django/Postgres/Redis/Celery/Docker/AWS question bank; STAR storytelling</x:v>
      </x:c>
      <x:c r="E45" s="84" t="str">
        <x:v>Create 30 concise flashcards + 8 STAR stories from real work/capstone.</x:v>
      </x:c>
      <x:c r="F45" s="84" t="str">
        <x:v>Timed 3 mixed problems.</x:v>
      </x:c>
      <x:c r="G45" s="84" t="str">
        <x:v>DBMS/OS/networking rapid revision.</x:v>
      </x:c>
      <x:c r="H45" s="84" t="str">
        <x:v>60-question rapid-fire technical drill.</x:v>
      </x:c>
      <x:c r="I45" s="94" t="n">
        <x:v>10</x:v>
      </x:c>
      <x:c r="J45" s="94" t="n">
        <x:v>20</x:v>
      </x:c>
      <x:c r="K45" s="84" t="str">
        <x:v>Not Started</x:v>
      </x:c>
      <x:c r="L45" s="84" t="str"/>
    </x:row>
    <x:row r="46" ht="57" customHeight="1">
      <x:c r="A46" s="90" t="n">
        <x:v>42</x:v>
      </x:c>
      <x:c r="B46" s="90" t="n">
        <x:v>6</x:v>
      </x:c>
      <x:c r="C46" s="90" t="str">
        <x:v>System Design + Backend Interview Depth</x:v>
      </x:c>
      <x:c r="D46" s="84" t="str">
        <x:v>Week 6 full mock; No new topics; identify gaps from mocks</x:v>
      </x:c>
      <x:c r="E46" s="84" t="str">
        <x:v>2-hour mock loop: coding + backend deep dive + system design + behavioral; write remediation list.</x:v>
      </x:c>
      <x:c r="F46" s="84" t="str">
        <x:v>2 timed medium problems in 45 min.</x:v>
      </x:c>
      <x:c r="G46" s="84" t="str">
        <x:v>Review weakest CS topic.</x:v>
      </x:c>
      <x:c r="H46" s="84" t="str">
        <x:v>Full mock interview and score yourself.</x:v>
      </x:c>
      <x:c r="I46" s="94" t="n">
        <x:v>10</x:v>
      </x:c>
      <x:c r="J46" s="94" t="n">
        <x:v>20</x:v>
      </x:c>
      <x:c r="K46" s="84" t="str">
        <x:v>Not Started</x:v>
      </x:c>
      <x:c r="L46" s="84" t="str"/>
    </x:row>
    <x:row r="47" ht="57" customHeight="1">
      <x:c r="A47" s="88" t="n">
        <x:v>43</x:v>
      </x:c>
      <x:c r="B47" s="88" t="n">
        <x:v>7</x:v>
      </x:c>
      <x:c r="C47" s="88" t="str">
        <x:v>LLM API Engineering</x:v>
      </x:c>
      <x:c r="D47" s="84" t="str">
        <x:v>Tokenization, context budgeting, inference settings, system/developer/user roles; temperature; provider comparison; prompt versioning; JSON schema validation; retries and fallbacks</x:v>
      </x:c>
      <x:c r="E47" s="84" t="str">
        <x:v>Extend Kumuta model routing: compare two providers, implement schema-validated output, streaming and request-cost logs.</x:v>
      </x:c>
      <x:c r="F47" s="84" t="str">
        <x:v>Timed 2 medium problems.</x:v>
      </x:c>
      <x:c r="G47" s="84" t="str">
        <x:v>HTTP error handling, rate limits, token pricing and latency budgets.</x:v>
      </x:c>
      <x:c r="H47" s="84" t="str">
        <x:v>Explain temperature, tool vs user messages and structured outputs.</x:v>
      </x:c>
      <x:c r="I47" s="94" t="n">
        <x:v>10</x:v>
      </x:c>
      <x:c r="J47" s="94" t="n">
        <x:v>20</x:v>
      </x:c>
      <x:c r="K47" s="84" t="str">
        <x:v>Not Started</x:v>
      </x:c>
      <x:c r="L47" s="84" t="str"/>
    </x:row>
    <x:row r="48" ht="57" customHeight="1">
      <x:c r="A48" s="88" t="n">
        <x:v>44</x:v>
      </x:c>
      <x:c r="B48" s="88" t="n">
        <x:v>7</x:v>
      </x:c>
      <x:c r="C48" s="88" t="str">
        <x:v>Embeddings &amp; Production RAG</x:v>
      </x:c>
      <x:c r="D48" s="84" t="str">
        <x:v>Embeddings, chunking, metadata, Postgres pgvector/vector indexes, retrieval, citations, ingestion and access control</x:v>
      </x:c>
      <x:c r="E48" s="84" t="str">
        <x:v>Build private document ingestion + retrieval for Kumuta; run 10 grounded test questions and record successes/failures.</x:v>
      </x:c>
      <x:c r="F48" s="84" t="str">
        <x:v>Timed 2 medium problems.</x:v>
      </x:c>
      <x:c r="G48" s="84" t="str">
        <x:v>Vector similarity, filtering, Postgres indexes, tenant isolation.</x:v>
      </x:c>
      <x:c r="H48" s="84" t="str">
        <x:v>Trace the full RAG request and explain retrieval failure.</x:v>
      </x:c>
      <x:c r="I48" s="94" t="n">
        <x:v>10</x:v>
      </x:c>
      <x:c r="J48" s="94" t="n">
        <x:v>20</x:v>
      </x:c>
      <x:c r="K48" s="84" t="str">
        <x:v>Not Started</x:v>
      </x:c>
      <x:c r="L48" s="84" t="str"/>
    </x:row>
    <x:row r="49" ht="57" customHeight="1">
      <x:c r="A49" s="88" t="n">
        <x:v>45</x:v>
      </x:c>
      <x:c r="B49" s="88" t="n">
        <x:v>7</x:v>
      </x:c>
      <x:c r="C49" s="88" t="str">
        <x:v>RAG Quality &amp; Retrieval</x:v>
      </x:c>
      <x:c r="D49" s="84" t="str">
        <x:v>Hybrid search, chunk overlap, reranking, retrieval metrics, grounded answering; conceptual comparison: Graph RAG vs Agentic RAG</x:v>
      </x:c>
      <x:c r="E49" s="84" t="str">
        <x:v>Create a small benchmark of 20 questions; compare baseline against hybrid/reranked retrieval; report recall@k and citation quality.</x:v>
      </x:c>
      <x:c r="F49" s="84" t="str">
        <x:v>Re-solve 3 weak problems.</x:v>
      </x:c>
      <x:c r="G49" s="84" t="str">
        <x:v>Precision/recall, ranking tradeoffs, evaluation reproducibility.</x:v>
      </x:c>
      <x:c r="H49" s="84" t="str">
        <x:v>Explain when advanced RAG is not worth its complexity.</x:v>
      </x:c>
      <x:c r="I49" s="94" t="n">
        <x:v>10</x:v>
      </x:c>
      <x:c r="J49" s="94" t="n">
        <x:v>20</x:v>
      </x:c>
      <x:c r="K49" s="84" t="str">
        <x:v>Not Started</x:v>
      </x:c>
      <x:c r="L49" s="84" t="str"/>
    </x:row>
    <x:row r="50" ht="57" customHeight="1">
      <x:c r="A50" s="88" t="n">
        <x:v>46</x:v>
      </x:c>
      <x:c r="B50" s="88" t="n">
        <x:v>7</x:v>
      </x:c>
      <x:c r="C50" s="88" t="str">
        <x:v>Tools &amp; Bounded Agents</x:v>
      </x:c>
      <x:c r="D50" s="84" t="str">
        <x:v>Function calling, typed tool schemas, approvals, state, termination, tool errors; deterministic workflows vs agents; orchestration concepts</x:v>
      </x:c>
      <x:c r="E50" s="84" t="str">
        <x:v>Add a bounded job-agent workflow: discover → score → draft → user approval; instrument actions and prevent duplicate submissions.</x:v>
      </x:c>
      <x:c r="F50" s="84" t="str">
        <x:v>Timed 2 medium problems.</x:v>
      </x:c>
      <x:c r="G50" s="84" t="str">
        <x:v>State machines, queues, retries, idempotency.</x:v>
      </x:c>
      <x:c r="H50" s="84" t="str">
        <x:v>Explain why you used an agent or plain code.</x:v>
      </x:c>
      <x:c r="I50" s="94" t="n">
        <x:v>10</x:v>
      </x:c>
      <x:c r="J50" s="94" t="n">
        <x:v>20</x:v>
      </x:c>
      <x:c r="K50" s="84" t="str">
        <x:v>Not Started</x:v>
      </x:c>
      <x:c r="L50" s="84" t="str"/>
    </x:row>
    <x:row r="51" ht="57" customHeight="1">
      <x:c r="A51" s="88" t="n">
        <x:v>47</x:v>
      </x:c>
      <x:c r="B51" s="88" t="n">
        <x:v>7</x:v>
      </x:c>
      <x:c r="C51" s="88" t="str">
        <x:v>MCP &amp; AI Security</x:v>
      </x:c>
      <x:c r="D51" s="84" t="str">
        <x:v>MCP host/client/server roles, tools/resources/prompts; authentication, injection defense, least privilege, secret storage</x:v>
      </x:c>
      <x:c r="E51" s="84" t="str">
        <x:v>Build a small read-only MCP server for a safe local dataset; add allowlist, input checks and one adversarial test.</x:v>
      </x:c>
      <x:c r="F51" s="84" t="str">
        <x:v>Timed 2 medium problems.</x:v>
      </x:c>
      <x:c r="G51" s="84" t="str">
        <x:v>Trust boundaries, permission models, injection and exfiltration risks.</x:v>
      </x:c>
      <x:c r="H51" s="84" t="str">
        <x:v>Explain MCP vs ordinary REST integrations.</x:v>
      </x:c>
      <x:c r="I51" s="94" t="n">
        <x:v>10</x:v>
      </x:c>
      <x:c r="J51" s="94" t="n">
        <x:v>20</x:v>
      </x:c>
      <x:c r="K51" s="84" t="str">
        <x:v>Not Started</x:v>
      </x:c>
      <x:c r="L51" s="84" t="str"/>
    </x:row>
    <x:row r="52" ht="57" customHeight="1">
      <x:c r="A52" s="88" t="n">
        <x:v>48</x:v>
      </x:c>
      <x:c r="B52" s="88" t="n">
        <x:v>7</x:v>
      </x:c>
      <x:c r="C52" s="88" t="str">
        <x:v>AI Deployment &amp; Evaluation</x:v>
      </x:c>
      <x:c r="D52" s="84" t="str">
        <x:v>LLM evaluation datasets, regression checks, tracing, latency, caching, routing, cost budgets, data redaction and observability</x:v>
      </x:c>
      <x:c r="E52" s="84" t="str">
        <x:v>Dockerize + deploy an AI endpoint; add metrics, rate limiting, cost caps, fallback behavior and smoke tests.</x:v>
      </x:c>
      <x:c r="F52" s="84" t="str">
        <x:v>Review weak Python/SQL topics.</x:v>
      </x:c>
      <x:c r="G52" s="84" t="str">
        <x:v>SLOs, request tracing, circuit breakers, retry storms.</x:v>
      </x:c>
      <x:c r="H52" s="84" t="str">
        <x:v>Walk through production incident response for an LLM service.</x:v>
      </x:c>
      <x:c r="I52" s="94" t="n">
        <x:v>10</x:v>
      </x:c>
      <x:c r="J52" s="94" t="n">
        <x:v>20</x:v>
      </x:c>
      <x:c r="K52" s="84" t="str">
        <x:v>Not Started</x:v>
      </x:c>
      <x:c r="L52" s="84" t="str"/>
    </x:row>
    <x:row r="53" ht="57" customHeight="1">
      <x:c r="A53" s="88" t="n">
        <x:v>49</x:v>
      </x:c>
      <x:c r="B53" s="88" t="n">
        <x:v>7</x:v>
      </x:c>
      <x:c r="C53" s="88" t="str">
        <x:v>Applied AI Portfolio Demo</x:v>
      </x:c>
      <x:c r="D53" s="84" t="str">
        <x:v>End-to-end product demo, measurable evaluation, deployment checklist, architecture, README; no unnecessary new frameworks</x:v>
      </x:c>
      <x:c r="E53" s="84" t="str">
        <x:v>Record working Kumuta RAG or job-agent demo, architecture graphic, tests, eval report, deployment link and reproducible README.</x:v>
      </x:c>
      <x:c r="F53" s="84" t="str">
        <x:v>Timed mock interview.</x:v>
      </x:c>
      <x:c r="G53" s="84" t="str">
        <x:v>Architecture justification and cost per request.</x:v>
      </x:c>
      <x:c r="H53" s="84" t="str">
        <x:v>Present the AI feature as a production engineering case study.</x:v>
      </x:c>
      <x:c r="I53" s="94" t="n">
        <x:v>10</x:v>
      </x:c>
      <x:c r="J53" s="94" t="n">
        <x:v>20</x:v>
      </x:c>
      <x:c r="K53" s="84" t="str">
        <x:v>Not Started</x:v>
      </x:c>
      <x:c r="L53" s="84" t="str"/>
    </x:row>
    <x:row r="54" ht="57" customHeight="1">
      <x:c r="A54" s="90" t="n">
        <x:v>50</x:v>
      </x:c>
      <x:c r="B54" s="90" t="n">
        <x:v>8</x:v>
      </x:c>
      <x:c r="C54" s="90" t="str">
        <x:v>Interview Conversion + Job Automation Sprint</x:v>
      </x:c>
      <x:c r="D54" s="84" t="str">
        <x:v>Resume + positioning; Backend/software-engineer positioning; impact bullets; metrics; ATS keywords; project storytelling; role-specific resume variants | Applied AI review: test, demo, measure and explain a shipped AI feature.</x:v>
      </x:c>
      <x:c r="E54" s="84" t="str">
        <x:v>Create Backend, Software Engineer, AI Product Engineer resume variants; GitHub pinned projects. Capture AI system reliability/portfolio evidence.</x:v>
      </x:c>
      <x:c r="F54" s="84" t="str">
        <x:v>Timed 2 mediums.</x:v>
      </x:c>
      <x:c r="G54" s="84" t="str">
        <x:v>Review SQL joins/indexes/transactions.</x:v>
      </x:c>
      <x:c r="H54" s="84" t="str">
        <x:v>Practice 90-sec introduction + 5 project stories.</x:v>
      </x:c>
      <x:c r="I54" s="94" t="n">
        <x:v>10</x:v>
      </x:c>
      <x:c r="J54" s="94" t="n">
        <x:v>20</x:v>
      </x:c>
      <x:c r="K54" s="84" t="str">
        <x:v>Not Started</x:v>
      </x:c>
      <x:c r="L54" s="84" t="str"/>
    </x:row>
    <x:row r="55" ht="57" customHeight="1">
      <x:c r="A55" s="90" t="n">
        <x:v>51</x:v>
      </x:c>
      <x:c r="B55" s="90" t="n">
        <x:v>8</x:v>
      </x:c>
      <x:c r="C55" s="90" t="str">
        <x:v>Interview Conversion + Job Automation Sprint</x:v>
      </x:c>
      <x:c r="D55" s="84" t="str">
        <x:v>Job sourcing system; Target-company tiers; job freshness; search operators; role/title normalization; deduplication; fit scoring; application quality</x:v>
      </x:c>
      <x:c r="E55" s="84" t="str">
        <x:v>Build/finish job collector that stores URL/company/title/date/JD; dedupe and score against skills.</x:v>
      </x:c>
      <x:c r="F55" s="84" t="str">
        <x:v>Timed 2 mediums.</x:v>
      </x:c>
      <x:c r="G55" s="84" t="str">
        <x:v>SQL exercise: 10 interview queries.</x:v>
      </x:c>
      <x:c r="H55" s="84" t="str">
        <x:v>Source 100 relevant openings; classify A/B/C fit; do not count duplicates.</x:v>
      </x:c>
      <x:c r="I55" s="94" t="n">
        <x:v>10</x:v>
      </x:c>
      <x:c r="J55" s="94" t="n">
        <x:v>20</x:v>
      </x:c>
      <x:c r="K55" s="84" t="str">
        <x:v>Not Started</x:v>
      </x:c>
      <x:c r="L55" s="84" t="str"/>
    </x:row>
    <x:row r="56" ht="57" customHeight="1">
      <x:c r="A56" s="90" t="n">
        <x:v>52</x:v>
      </x:c>
      <x:c r="B56" s="90" t="n">
        <x:v>8</x:v>
      </x:c>
      <x:c r="C56" s="90" t="str">
        <x:v>Interview Conversion + Job Automation Sprint</x:v>
      </x:c>
      <x:c r="D56" s="84" t="str">
        <x:v>Application automation; Resume/JD keyword matching; templated fields; autofill boundaries; audit trail; anti-duplicate safeguards; manual review checkpoint | Applied AI review: test, demo, measure and explain a shipped AI feature.</x:v>
      </x:c>
      <x:c r="E56" s="84" t="str">
        <x:v>Automate repetitive data preparation/form filling where permitted; keep final review/submission under your control; log every application.</x:v>
      </x:c>
      <x:c r="F56" s="84" t="str">
        <x:v>Timed 2 mediums.</x:v>
      </x:c>
      <x:c r="G56" s="84" t="str">
        <x:v>Review HTTP/API/security flashcards.</x:v>
      </x:c>
      <x:c r="H56" s="84" t="str">
        <x:v>Target 100 processed opportunities: prioritize high-fit fresh roles and record submitted vs skipped with reason.</x:v>
      </x:c>
      <x:c r="I56" s="94" t="n">
        <x:v>10</x:v>
      </x:c>
      <x:c r="J56" s="94" t="n">
        <x:v>20</x:v>
      </x:c>
      <x:c r="K56" s="84" t="str">
        <x:v>Not Started</x:v>
      </x:c>
      <x:c r="L56" s="84" t="str"/>
    </x:row>
    <x:row r="57" ht="57" customHeight="1">
      <x:c r="A57" s="90" t="n">
        <x:v>53</x:v>
      </x:c>
      <x:c r="B57" s="90" t="n">
        <x:v>8</x:v>
      </x:c>
      <x:c r="C57" s="90" t="str">
        <x:v>Interview Conversion + Job Automation Sprint</x:v>
      </x:c>
      <x:c r="D57" s="84" t="str">
        <x:v>Recruiter/referral outreach; Concise outreach; proof-of-work; referral ask; follow-up cadence; LinkedIn/GitHub profile optimization</x:v>
      </x:c>
      <x:c r="E57" s="84" t="str">
        <x:v>Prepare 3 outreach templates and personalized evidence snippets; send targeted outreach alongside applications. Capture AI system reliability/portfolio evidence.</x:v>
      </x:c>
      <x:c r="F57" s="84" t="str">
        <x:v>Timed 2 mediums.</x:v>
      </x:c>
      <x:c r="G57" s="84" t="str">
        <x:v>System design rapid review.</x:v>
      </x:c>
      <x:c r="H57" s="84" t="str">
        <x:v>Contact recruiters/referrals for top-fit roles; track reply rate.</x:v>
      </x:c>
      <x:c r="I57" s="94" t="n">
        <x:v>10</x:v>
      </x:c>
      <x:c r="J57" s="94" t="n">
        <x:v>20</x:v>
      </x:c>
      <x:c r="K57" s="84" t="str">
        <x:v>Not Started</x:v>
      </x:c>
      <x:c r="L57" s="84" t="str"/>
    </x:row>
    <x:row r="58" ht="57" customHeight="1">
      <x:c r="A58" s="90" t="n">
        <x:v>54</x:v>
      </x:c>
      <x:c r="B58" s="90" t="n">
        <x:v>8</x:v>
      </x:c>
      <x:c r="C58" s="90" t="str">
        <x:v>Interview Conversion + Job Automation Sprint</x:v>
      </x:c>
      <x:c r="D58" s="84" t="str">
        <x:v>Coding interview day; Problem clarification; examples; brute force; optimization; complexity; testing edge cases; communication | Applied AI review: test, demo, measure and explain a shipped AI feature.</x:v>
      </x:c>
      <x:c r="E58" s="84" t="str">
        <x:v>Run 2 x 45-min coding mocks under interview conditions.</x:v>
      </x:c>
      <x:c r="F58" s="84" t="str">
        <x:v>2 medium interview problems + review.</x:v>
      </x:c>
      <x:c r="G58" s="84" t="str">
        <x:v>SQL timed test: 5 queries/30 min.</x:v>
      </x:c>
      <x:c r="H58" s="84" t="str">
        <x:v>Review recordings/notes; create top-10 coding mistakes checklist.</x:v>
      </x:c>
      <x:c r="I58" s="94" t="n">
        <x:v>10</x:v>
      </x:c>
      <x:c r="J58" s="94" t="n">
        <x:v>20</x:v>
      </x:c>
      <x:c r="K58" s="84" t="str">
        <x:v>Not Started</x:v>
      </x:c>
      <x:c r="L58" s="84" t="str"/>
    </x:row>
    <x:row r="59" ht="57" customHeight="1">
      <x:c r="A59" s="90" t="n">
        <x:v>55</x:v>
      </x:c>
      <x:c r="B59" s="90" t="n">
        <x:v>8</x:v>
      </x:c>
      <x:c r="C59" s="90" t="str">
        <x:v>Interview Conversion + Job Automation Sprint</x:v>
      </x:c>
      <x:c r="D59" s="84" t="str">
        <x:v>Backend + system design interview day; Backend troubleshooting; database choices; API design; reliability; deployment; architecture tradeoffs</x:v>
      </x:c>
      <x:c r="E59" s="84" t="str">
        <x:v>Run backend deep-dive + 60-min system-design mock using capstone.</x:v>
      </x:c>
      <x:c r="F59" s="84" t="str">
        <x:v>1 medium warm-up.</x:v>
      </x:c>
      <x:c r="G59" s="84" t="str">
        <x:v>Review DB/OS/networking weakest areas.</x:v>
      </x:c>
      <x:c r="H59" s="84" t="str">
        <x:v>Prepare crisp answers to 50 backend questions.</x:v>
      </x:c>
      <x:c r="I59" s="94" t="n">
        <x:v>10</x:v>
      </x:c>
      <x:c r="J59" s="94" t="n">
        <x:v>20</x:v>
      </x:c>
      <x:c r="K59" s="84" t="str">
        <x:v>Not Started</x:v>
      </x:c>
      <x:c r="L59" s="84" t="str"/>
    </x:row>
    <x:row r="60" ht="57" customHeight="1">
      <x:c r="A60" s="90" t="n">
        <x:v>56</x:v>
      </x:c>
      <x:c r="B60" s="90" t="n">
        <x:v>8</x:v>
      </x:c>
      <x:c r="C60" s="90" t="str">
        <x:v>Interview Conversion + Job Automation Sprint</x:v>
      </x:c>
      <x:c r="D60" s="84" t="str">
        <x:v>Behavioral + offer pipeline; STAR; ownership; conflict; failure; incident; ambiguity; leadership without title; compensation conversation; remote-work communication | Applied AI review: test, demo, measure and explain a shipped AI feature.</x:v>
      </x:c>
      <x:c r="E60" s="84" t="str">
        <x:v>Prepare 10 STAR stories and final portfolio README; update application tracker conversion metrics. Capture AI system reliability/portfolio evidence.</x:v>
      </x:c>
      <x:c r="F60" s="84" t="str">
        <x:v>1 easy + 1 medium warm-up.</x:v>
      </x:c>
      <x:c r="G60" s="84" t="str">
        <x:v>Final CS cheat-sheet review.</x:v>
      </x:c>
      <x:c r="H60" s="84" t="str">
        <x:v>Full interview loop simulation; plan next 30 days based on response/interview rates.</x:v>
      </x:c>
      <x:c r="I60" s="94" t="n">
        <x:v>10</x:v>
      </x:c>
      <x:c r="J60" s="94" t="n">
        <x:v>20</x:v>
      </x:c>
      <x:c r="K60" s="84" t="str">
        <x:v>Not Started</x:v>
      </x:c>
      <x:c r="L60" s="84" t="str"/>
    </x:row>
  </x:sheetData>
  <x:mergeCells>
    <x:mergeCell ref="A1:L2"/>
  </x:mergeCells>
  <x:conditionalFormatting sqref="K5:K60">
    <x:cfRule type="expression" dxfId="0" priority="1">
      <x:formula>K5="Done"</x:formula>
    </x:cfRule>
    <x:cfRule type="expression" dxfId="1" priority="2">
      <x:formula>K5="In Progress"</x:formula>
    </x:cfRule>
    <x:cfRule type="expression" dxfId="2" priority="3">
      <x:formula>K5="Skipped"</x:formula>
    </x:cfRule>
  </x:conditionalFormatting>
  <x:dataValidations count="1">
    <x:dataValidation type="list" sqref="K5:K60">
      <x:formula1>"Not Started,In Progress,Done,Skipped"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65" hidden="0" customWidth="1"/>
    <x:col min="4" max="4" width="59" hidden="0" customWidth="1"/>
    <x:col min="5" max="5" width="41" hidden="0" customWidth="1"/>
    <x:col min="6" max="6" width="43" hidden="0" customWidth="1"/>
    <x:col min="7" max="7" width="25" hidden="0" customWidth="1"/>
    <x:col min="8" max="8" width="40" hidden="0" customWidth="1"/>
  </x:cols>
  <x:sheetData>
    <x:row r="1" ht="29" customHeight="1">
      <x:c r="A1" s="4" t="str">
        <x:v>WEEK BY WEEK  |  SKILLS → SHIPPING → INTERVIEW</x:v>
      </x:c>
      <x:c r="B1" s="4"/>
      <x:c r="C1" s="4"/>
      <x:c r="D1" s="4"/>
      <x:c r="E1" s="4"/>
      <x:c r="F1" s="4"/>
      <x:c r="G1" s="4"/>
      <x:c r="H1" s="4"/>
    </x:row>
    <x:row r="2" ht="29" customHeight="1">
      <x:c r="A2" s="4"/>
      <x:c r="B2" s="4"/>
      <x:c r="C2" s="4"/>
      <x:c r="D2" s="4"/>
      <x:c r="E2" s="4"/>
      <x:c r="F2" s="4"/>
      <x:c r="G2" s="4"/>
      <x:c r="H2" s="4"/>
    </x:row>
    <x:row r="3" ht="6" customHeight="1">
      <x:c r="A3" s="8"/>
      <x:c r="B3" s="8"/>
      <x:c r="C3" s="8"/>
      <x:c r="D3" s="8"/>
      <x:c r="E3" s="8"/>
      <x:c r="F3" s="8"/>
      <x:c r="G3" s="8"/>
      <x:c r="H3" s="8"/>
    </x:row>
    <x:row r="4" ht="33" customHeight="1">
      <x:c r="A4" s="79" t="str">
        <x:v>WEEK</x:v>
      </x:c>
      <x:c r="B4" s="79" t="str">
        <x:v>FOCUS</x:v>
      </x:c>
      <x:c r="C4" s="79" t="str">
        <x:v>CORE COMPETENCIES</x:v>
      </x:c>
      <x:c r="D4" s="79" t="str">
        <x:v>PRODUCT / CAPSTONE DELIVERABLE</x:v>
      </x:c>
      <x:c r="E4" s="79" t="str">
        <x:v>INTERVIEW EMPHASIS</x:v>
      </x:c>
      <x:c r="F4" s="79" t="str">
        <x:v>EXIT GATE</x:v>
      </x:c>
      <x:c r="G4" s="79" t="str">
        <x:v>DAY RANGE</x:v>
      </x:c>
      <x:c r="H4" s="79" t="str">
        <x:v>MEASURABLE EVIDENCE</x:v>
      </x:c>
    </x:row>
    <x:row r="5" ht="82" customHeight="1">
      <x:c r="A5" s="106" t="n">
        <x:v>1</x:v>
      </x:c>
      <x:c r="B5" s="102" t="str">
        <x:v>Python foundations</x:v>
      </x:c>
      <x:c r="C5" s="102" t="str">
        <x:v>Python internals, typing, OOP, pytest, async, Git/Linux</x:v>
      </x:c>
      <x:c r="D5" s="102" t="str">
        <x:v>Service skeleton; async worker; meaningful unit tests</x:v>
      </x:c>
      <x:c r="E5" s="102" t="str">
        <x:v>Python coding, complexity and concurrency</x:v>
      </x:c>
      <x:c r="F5" s="102" t="str">
        <x:v>Write and explain Python independently</x:v>
      </x:c>
      <x:c r="G5" s="102" t="str">
        <x:v>1–7</x:v>
      </x:c>
      <x:c r="H5" s="102" t="str">
        <x:v>Runnable repo + test suite</x:v>
      </x:c>
    </x:row>
    <x:row r="6" ht="82" customHeight="1">
      <x:c r="A6" s="106" t="n">
        <x:v>2</x:v>
      </x:c>
      <x:c r="B6" s="110" t="str">
        <x:v>FastAPI + PostgreSQL</x:v>
      </x:c>
      <x:c r="C6" s="110" t="str">
        <x:v>REST, Pydantic, SQL, migrations, JWT, indexes</x:v>
      </x:c>
      <x:c r="D6" s="110" t="str">
        <x:v>Authenticated CRUD API and database schema</x:v>
      </x:c>
      <x:c r="E6" s="110" t="str">
        <x:v>SQL joins, API design, indexing</x:v>
      </x:c>
      <x:c r="F6" s="110" t="str">
        <x:v>API + SQL lifecycle explained</x:v>
      </x:c>
      <x:c r="G6" s="110" t="str">
        <x:v>8–14</x:v>
      </x:c>
      <x:c r="H6" s="110" t="str">
        <x:v>Documented endpoints + queries</x:v>
      </x:c>
    </x:row>
    <x:row r="7" ht="82" customHeight="1">
      <x:c r="A7" s="106" t="n">
        <x:v>3</x:v>
      </x:c>
      <x:c r="B7" s="102" t="str">
        <x:v>Django/DRF + SaaS</x:v>
      </x:c>
      <x:c r="C7" s="102" t="str">
        <x:v>ORM, transactions, roles, multi-tenant boundaries</x:v>
      </x:c>
      <x:c r="D7" s="102" t="str">
        <x:v>Access-controlled tenant-aware endpoints</x:v>
      </x:c>
      <x:c r="E7" s="102" t="str">
        <x:v>Django internals, permissions, security</x:v>
      </x:c>
      <x:c r="F7" s="102" t="str">
        <x:v>Defend tenant isolation</x:v>
      </x:c>
      <x:c r="G7" s="102" t="str">
        <x:v>15–21</x:v>
      </x:c>
      <x:c r="H7" s="102" t="str">
        <x:v>Auth/RBAC tests</x:v>
      </x:c>
    </x:row>
    <x:row r="8" ht="82" customHeight="1">
      <x:c r="A8" s="106" t="n">
        <x:v>4</x:v>
      </x:c>
      <x:c r="B8" s="110" t="str">
        <x:v>Async + performance</x:v>
      </x:c>
      <x:c r="C8" s="110" t="str">
        <x:v>Redis, Celery, caching, queues, idempotency</x:v>
      </x:c>
      <x:c r="D8" s="110" t="str">
        <x:v>Jobs and caching with benchmarks</x:v>
      </x:c>
      <x:c r="E8" s="110" t="str">
        <x:v>Queueing, data consistency, async design</x:v>
      </x:c>
      <x:c r="F8" s="110" t="str">
        <x:v>Demonstrate throughput gains</x:v>
      </x:c>
      <x:c r="G8" s="110" t="str">
        <x:v>22–28</x:v>
      </x:c>
      <x:c r="H8" s="110" t="str">
        <x:v>Before/after metrics</x:v>
      </x:c>
    </x:row>
    <x:row r="9" ht="82" customHeight="1">
      <x:c r="A9" s="106" t="n">
        <x:v>5</x:v>
      </x:c>
      <x:c r="B9" s="102" t="str">
        <x:v>Deploy + reliability</x:v>
      </x:c>
      <x:c r="C9" s="102" t="str">
        <x:v>Docker, AWS fundamentals, CI/CD, monitoring and tests</x:v>
      </x:c>
      <x:c r="D9" s="102" t="str">
        <x:v>Public deployed backend + pipeline</x:v>
      </x:c>
      <x:c r="E9" s="102" t="str">
        <x:v>Cloud, failures and debugging</x:v>
      </x:c>
      <x:c r="F9" s="102" t="str">
        <x:v>Recover from a simulated issue</x:v>
      </x:c>
      <x:c r="G9" s="102" t="str">
        <x:v>29–35</x:v>
      </x:c>
      <x:c r="H9" s="102" t="str">
        <x:v>Deployment link + runbook</x:v>
      </x:c>
    </x:row>
    <x:row r="10" ht="82" customHeight="1">
      <x:c r="A10" s="106" t="n">
        <x:v>6</x:v>
      </x:c>
      <x:c r="B10" s="110" t="str">
        <x:v>System design</x:v>
      </x:c>
      <x:c r="C10" s="110" t="str">
        <x:v>Load balancing, replication, consistency, scaling, backups</x:v>
      </x:c>
      <x:c r="D10" s="110" t="str">
        <x:v>Architecture and incident-ready backend</x:v>
      </x:c>
      <x:c r="E10" s="110" t="str">
        <x:v>System design mocks and backend depth</x:v>
      </x:c>
      <x:c r="F10" s="110" t="str">
        <x:v>Defend tradeoffs in a mock</x:v>
      </x:c>
      <x:c r="G10" s="110" t="str">
        <x:v>36–42</x:v>
      </x:c>
      <x:c r="H10" s="110" t="str">
        <x:v>Architecture document</x:v>
      </x:c>
    </x:row>
    <x:row r="11" ht="82" customHeight="1">
      <x:c r="A11" s="114" t="n">
        <x:v>7</x:v>
      </x:c>
      <x:c r="B11" s="102" t="str">
        <x:v>Applied AI systems</x:v>
      </x:c>
      <x:c r="C11" s="102" t="str">
        <x:v>Tokens, structured JSON, embeddings, RAG, evaluation, function calling, MCP, deployment</x:v>
      </x:c>
      <x:c r="D11" s="102" t="str">
        <x:v>Kumuta RAG OR bounded job-agent AI feature with tests</x:v>
      </x:c>
      <x:c r="E11" s="102" t="str">
        <x:v>RAG quality, agent tool permissions, deployment</x:v>
      </x:c>
      <x:c r="F11" s="102" t="str">
        <x:v>Demonstrate grounded, safe production AI</x:v>
      </x:c>
      <x:c r="G11" s="102" t="str">
        <x:v>43–49</x:v>
      </x:c>
      <x:c r="H11" s="102" t="str">
        <x:v>Working demo + eval scorecard</x:v>
      </x:c>
    </x:row>
    <x:row r="12" ht="82" customHeight="1">
      <x:c r="A12" s="114" t="n">
        <x:v>8</x:v>
      </x:c>
      <x:c r="B12" s="110" t="str">
        <x:v>Portfolio + career</x:v>
      </x:c>
      <x:c r="C12" s="110" t="str">
        <x:v>Refinement, technical storytelling, applications, mock interviews, AI reliability</x:v>
      </x:c>
      <x:c r="D12" s="110" t="str">
        <x:v>Case study, resume bullets, end-to-end demo</x:v>
      </x:c>
      <x:c r="E12" s="110" t="str">
        <x:v>Coding + backend + AI system interviews</x:v>
      </x:c>
      <x:c r="F12" s="110" t="str">
        <x:v>Evidence-driven portfolio + interview readiness</x:v>
      </x:c>
      <x:c r="G12" s="110" t="str">
        <x:v>50–56</x:v>
      </x:c>
      <x:c r="H12" s="110" t="str">
        <x:v>2 polished project case studies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1" hidden="0" customWidth="1"/>
    <x:col min="4" max="4" width="62" hidden="0" customWidth="1"/>
    <x:col min="5" max="5" width="19" hidden="0" customWidth="1"/>
    <x:col min="6" max="6" width="55" hidden="0" customWidth="1"/>
  </x:cols>
  <x:sheetData>
    <x:row r="1" ht="29" customHeight="1">
      <x:c r="A1" s="4" t="str">
        <x:v>APPLIED AI  |  COMPETENCY MATRIX</x:v>
      </x:c>
      <x:c r="B1" s="4"/>
      <x:c r="C1" s="4"/>
      <x:c r="D1" s="4"/>
      <x:c r="E1" s="4"/>
      <x:c r="F1" s="4"/>
    </x:row>
    <x:row r="2" ht="29" customHeight="1">
      <x:c r="A2" s="4"/>
      <x:c r="B2" s="4"/>
      <x:c r="C2" s="4"/>
      <x:c r="D2" s="4"/>
      <x:c r="E2" s="4"/>
      <x:c r="F2" s="4"/>
    </x:row>
    <x:row r="3" ht="6" customHeight="1">
      <x:c r="A3" s="8"/>
      <x:c r="B3" s="8"/>
      <x:c r="C3" s="8"/>
      <x:c r="D3" s="8"/>
      <x:c r="E3" s="8"/>
      <x:c r="F3" s="8"/>
    </x:row>
    <x:row r="4" ht="33" customHeight="1">
      <x:c r="A4" s="79" t="str">
        <x:v>SKILL</x:v>
      </x:c>
      <x:c r="B4" s="79" t="str">
        <x:v>LEVEL TO REACH</x:v>
      </x:c>
      <x:c r="C4" s="79" t="str">
        <x:v>PRIORITY</x:v>
      </x:c>
      <x:c r="D4" s="79" t="str">
        <x:v>PROOF / TEST</x:v>
      </x:c>
      <x:c r="E4" s="79" t="str">
        <x:v>STATUS</x:v>
      </x:c>
      <x:c r="F4" s="79" t="str">
        <x:v>WHEN TO STUDY</x:v>
      </x:c>
    </x:row>
    <x:row r="5" ht="46" customHeight="1">
      <x:c r="A5" s="118" t="str">
        <x:v>Tokens + budgets</x:v>
      </x:c>
      <x:c r="B5" s="118" t="str">
        <x:v>Working</x:v>
      </x:c>
      <x:c r="C5" s="118" t="str">
        <x:v>P0</x:v>
      </x:c>
      <x:c r="D5" s="118" t="str">
        <x:v>Estimate context, compute per-request cost</x:v>
      </x:c>
      <x:c r="E5" s="118" t="str">
        <x:v>Not Started</x:v>
      </x:c>
      <x:c r="F5" s="118" t="str">
        <x:v>Day 43</x:v>
      </x:c>
    </x:row>
    <x:row r="6" ht="46" customHeight="1">
      <x:c r="A6" s="110" t="str">
        <x:v>Prompting + JSON Schema</x:v>
      </x:c>
      <x:c r="B6" s="110" t="str">
        <x:v>Strong</x:v>
      </x:c>
      <x:c r="C6" s="110" t="str">
        <x:v>P0</x:v>
      </x:c>
      <x:c r="D6" s="110" t="str">
        <x:v>Validated JSON response with retry tests</x:v>
      </x:c>
      <x:c r="E6" s="110" t="str">
        <x:v>Not Started</x:v>
      </x:c>
      <x:c r="F6" s="110" t="str">
        <x:v>Day 43</x:v>
      </x:c>
    </x:row>
    <x:row r="7" ht="46" customHeight="1">
      <x:c r="A7" s="118" t="str">
        <x:v>Embedding search</x:v>
      </x:c>
      <x:c r="B7" s="118" t="str">
        <x:v>Strong</x:v>
      </x:c>
      <x:c r="C7" s="118" t="str">
        <x:v>P0</x:v>
      </x:c>
      <x:c r="D7" s="118" t="str">
        <x:v>Private semantic search + metadata filters</x:v>
      </x:c>
      <x:c r="E7" s="118" t="str">
        <x:v>Not Started</x:v>
      </x:c>
      <x:c r="F7" s="118" t="str">
        <x:v>Day 44</x:v>
      </x:c>
    </x:row>
    <x:row r="8" ht="46" customHeight="1">
      <x:c r="A8" s="110" t="str">
        <x:v>Baseline RAG</x:v>
      </x:c>
      <x:c r="B8" s="110" t="str">
        <x:v>Strong</x:v>
      </x:c>
      <x:c r="C8" s="110" t="str">
        <x:v>P0</x:v>
      </x:c>
      <x:c r="D8" s="110" t="str">
        <x:v>Grounded answers + citations + evals</x:v>
      </x:c>
      <x:c r="E8" s="110" t="str">
        <x:v>Not Started</x:v>
      </x:c>
      <x:c r="F8" s="110" t="str">
        <x:v>Days 44–45</x:v>
      </x:c>
    </x:row>
    <x:row r="9" ht="46" customHeight="1">
      <x:c r="A9" s="118" t="str">
        <x:v>Hybrid + reranking</x:v>
      </x:c>
      <x:c r="B9" s="118" t="str">
        <x:v>Working</x:v>
      </x:c>
      <x:c r="C9" s="118" t="str">
        <x:v>P1</x:v>
      </x:c>
      <x:c r="D9" s="118" t="str">
        <x:v>A/B retrieval benchmark</x:v>
      </x:c>
      <x:c r="E9" s="118" t="str">
        <x:v>Not Started</x:v>
      </x:c>
      <x:c r="F9" s="118" t="str">
        <x:v>Day 45</x:v>
      </x:c>
    </x:row>
    <x:row r="10" ht="46" customHeight="1">
      <x:c r="A10" s="110" t="str">
        <x:v>Tool calling</x:v>
      </x:c>
      <x:c r="B10" s="110" t="str">
        <x:v>Strong</x:v>
      </x:c>
      <x:c r="C10" s="110" t="str">
        <x:v>P0</x:v>
      </x:c>
      <x:c r="D10" s="110" t="str">
        <x:v>Typed safe tool + termination + tracing</x:v>
      </x:c>
      <x:c r="E10" s="110" t="str">
        <x:v>Not Started</x:v>
      </x:c>
      <x:c r="F10" s="110" t="str">
        <x:v>Day 46</x:v>
      </x:c>
    </x:row>
    <x:row r="11" ht="46" customHeight="1">
      <x:c r="A11" s="118" t="str">
        <x:v>Agent workflows</x:v>
      </x:c>
      <x:c r="B11" s="118" t="str">
        <x:v>Working</x:v>
      </x:c>
      <x:c r="C11" s="118" t="str">
        <x:v>P0</x:v>
      </x:c>
      <x:c r="D11" s="118" t="str">
        <x:v>Bounded job-agent workflow with approvals</x:v>
      </x:c>
      <x:c r="E11" s="118" t="str">
        <x:v>Not Started</x:v>
      </x:c>
      <x:c r="F11" s="118" t="str">
        <x:v>Day 46</x:v>
      </x:c>
    </x:row>
    <x:row r="12" ht="46" customHeight="1">
      <x:c r="A12" s="110" t="str">
        <x:v>MCP</x:v>
      </x:c>
      <x:c r="B12" s="110" t="str">
        <x:v>Working</x:v>
      </x:c>
      <x:c r="C12" s="110" t="str">
        <x:v>P1</x:v>
      </x:c>
      <x:c r="D12" s="110" t="str">
        <x:v>Small secure read-only server + client</x:v>
      </x:c>
      <x:c r="E12" s="110" t="str">
        <x:v>Not Started</x:v>
      </x:c>
      <x:c r="F12" s="110" t="str">
        <x:v>Day 47</x:v>
      </x:c>
    </x:row>
    <x:row r="13" ht="46" customHeight="1">
      <x:c r="A13" s="118" t="str">
        <x:v>LLM security</x:v>
      </x:c>
      <x:c r="B13" s="118" t="str">
        <x:v>Strong</x:v>
      </x:c>
      <x:c r="C13" s="118" t="str">
        <x:v>P0</x:v>
      </x:c>
      <x:c r="D13" s="118" t="str">
        <x:v>Injection test + least privilege</x:v>
      </x:c>
      <x:c r="E13" s="118" t="str">
        <x:v>Not Started</x:v>
      </x:c>
      <x:c r="F13" s="118" t="str">
        <x:v>Days 47–48</x:v>
      </x:c>
    </x:row>
    <x:row r="14" ht="46" customHeight="1">
      <x:c r="A14" s="110" t="str">
        <x:v>AI evaluations</x:v>
      </x:c>
      <x:c r="B14" s="110" t="str">
        <x:v>Strong</x:v>
      </x:c>
      <x:c r="C14" s="110" t="str">
        <x:v>P0</x:v>
      </x:c>
      <x:c r="D14" s="110" t="str">
        <x:v>Versioned question set + regression report</x:v>
      </x:c>
      <x:c r="E14" s="110" t="str">
        <x:v>Not Started</x:v>
      </x:c>
      <x:c r="F14" s="110" t="str">
        <x:v>Days 45, 48</x:v>
      </x:c>
    </x:row>
    <x:row r="15" ht="46" customHeight="1">
      <x:c r="A15" s="118" t="str">
        <x:v>AI observability</x:v>
      </x:c>
      <x:c r="B15" s="118" t="str">
        <x:v>Working</x:v>
      </x:c>
      <x:c r="C15" s="118" t="str">
        <x:v>P0</x:v>
      </x:c>
      <x:c r="D15" s="118" t="str">
        <x:v>Request traces, latency and token costs</x:v>
      </x:c>
      <x:c r="E15" s="118" t="str">
        <x:v>Not Started</x:v>
      </x:c>
      <x:c r="F15" s="118" t="str">
        <x:v>Day 48</x:v>
      </x:c>
    </x:row>
    <x:row r="16" ht="46" customHeight="1">
      <x:c r="A16" s="110" t="str">
        <x:v>AI deployment</x:v>
      </x:c>
      <x:c r="B16" s="110" t="str">
        <x:v>Working</x:v>
      </x:c>
      <x:c r="C16" s="110" t="str">
        <x:v>P0</x:v>
      </x:c>
      <x:c r="D16" s="110" t="str">
        <x:v>Container deployment + smoke tests</x:v>
      </x:c>
      <x:c r="E16" s="110" t="str">
        <x:v>Not Started</x:v>
      </x:c>
      <x:c r="F16" s="110" t="str">
        <x:v>Days 48–49</x:v>
      </x:c>
    </x:row>
  </x:sheetData>
  <x:mergeCells>
    <x:mergeCell ref="A1:F2"/>
  </x:mergeCells>
  <x:dataValidations count="1">
    <x:dataValidation type="list" sqref="E5:E16">
      <x:formula1>"Not Started,In Progress,Done,Skipped"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9" hidden="0" customWidth="1"/>
    <x:col min="3" max="3" width="25" hidden="0" customWidth="1"/>
    <x:col min="4" max="4" width="70" hidden="0" customWidth="1"/>
    <x:col min="5" max="5" width="56" hidden="0" customWidth="1"/>
    <x:col min="6" max="6" width="19" hidden="0" customWidth="1"/>
    <x:col min="7" max="7" width="18" hidden="0" customWidth="1"/>
  </x:cols>
  <x:sheetData>
    <x:row r="1" ht="29" customHeight="1">
      <x:c r="A1" s="4" t="str">
        <x:v>LATER, NOT NEVER  |  ADVANCED AI LEARNING</x:v>
      </x:c>
      <x:c r="B1" s="4"/>
      <x:c r="C1" s="4"/>
      <x:c r="D1" s="4"/>
      <x:c r="E1" s="4"/>
      <x:c r="F1" s="4"/>
      <x:c r="G1" s="4"/>
    </x:row>
    <x:row r="2" ht="29" customHeight="1">
      <x:c r="A2" s="4"/>
      <x:c r="B2" s="4"/>
      <x:c r="C2" s="4"/>
      <x:c r="D2" s="4"/>
      <x:c r="E2" s="4"/>
      <x:c r="F2" s="4"/>
      <x:c r="G2" s="4"/>
    </x:row>
    <x:row r="3" ht="6" customHeight="1">
      <x:c r="A3" s="8"/>
      <x:c r="B3" s="8"/>
      <x:c r="C3" s="8"/>
      <x:c r="D3" s="8"/>
      <x:c r="E3" s="8"/>
      <x:c r="F3" s="8"/>
      <x:c r="G3" s="8"/>
    </x:row>
    <x:row r="4" ht="33" customHeight="1">
      <x:c r="A4" s="79" t="str">
        <x:v>ADVANCED TOPIC</x:v>
      </x:c>
      <x:c r="B4" s="79" t="str">
        <x:v>PRIORITY</x:v>
      </x:c>
      <x:c r="C4" s="79" t="str">
        <x:v>PREREQUISITE</x:v>
      </x:c>
      <x:c r="D4" s="79" t="str">
        <x:v>WHEN IT BECOMES USEFUL</x:v>
      </x:c>
      <x:c r="E4" s="79" t="str">
        <x:v>SUGGESTED PROOF PROJECT</x:v>
      </x:c>
      <x:c r="F4" s="79" t="str">
        <x:v>EST. EFFORT</x:v>
      </x:c>
      <x:c r="G4" s="79" t="str">
        <x:v>STATUS</x:v>
      </x:c>
    </x:row>
    <x:row r="5" ht="63" customHeight="1">
      <x:c r="A5" s="99" t="str">
        <x:v>Graph RAG</x:v>
      </x:c>
      <x:c r="B5" s="99" t="str">
        <x:v>Later</x:v>
      </x:c>
      <x:c r="C5" s="99" t="str">
        <x:v>Reliable basic RAG</x:v>
      </x:c>
      <x:c r="D5" s="99" t="str">
        <x:v>Documents contain many interrelated entities and multi-hop questions</x:v>
      </x:c>
      <x:c r="E5" s="99" t="str">
        <x:v>Graph extraction + multi-hop answer eval</x:v>
      </x:c>
      <x:c r="F5" s="99" t="str">
        <x:v>1–2 weeks</x:v>
      </x:c>
      <x:c r="G5" s="99" t="str">
        <x:v>Backlog</x:v>
      </x:c>
    </x:row>
    <x:row r="6" ht="63" customHeight="1">
      <x:c r="A6" s="99" t="str">
        <x:v>Agentic RAG</x:v>
      </x:c>
      <x:c r="B6" s="99" t="str">
        <x:v>Later</x:v>
      </x:c>
      <x:c r="C6" s="99" t="str">
        <x:v>Retrieval evaluation</x:v>
      </x:c>
      <x:c r="D6" s="99" t="str">
        <x:v>Questions need iterative search or multiple retrieval tools</x:v>
      </x:c>
      <x:c r="E6" s="99" t="str">
        <x:v>Bounded retrieval agent vs baseline benchmark</x:v>
      </x:c>
      <x:c r="F6" s="99" t="str">
        <x:v>1–2 weeks</x:v>
      </x:c>
      <x:c r="G6" s="99" t="str">
        <x:v>Backlog</x:v>
      </x:c>
    </x:row>
    <x:row r="7" ht="63" customHeight="1">
      <x:c r="A7" s="99" t="str">
        <x:v>Multi-agent systems</x:v>
      </x:c>
      <x:c r="B7" s="99" t="str">
        <x:v>Later</x:v>
      </x:c>
      <x:c r="C7" s="99" t="str">
        <x:v>Single-agent reliability</x:v>
      </x:c>
      <x:c r="D7" s="99" t="str">
        <x:v>Measured need for specialized cooperating workers</x:v>
      </x:c>
      <x:c r="E7" s="99" t="str">
        <x:v>Compare against single deterministic orchestration</x:v>
      </x:c>
      <x:c r="F7" s="99" t="str">
        <x:v>2 weeks</x:v>
      </x:c>
      <x:c r="G7" s="99" t="str">
        <x:v>Backlog</x:v>
      </x:c>
    </x:row>
    <x:row r="8" ht="63" customHeight="1">
      <x:c r="A8" s="99" t="str">
        <x:v>Fine-tuning / LoRA</x:v>
      </x:c>
      <x:c r="B8" s="99" t="str">
        <x:v>Later</x:v>
      </x:c>
      <x:c r="C8" s="99" t="str">
        <x:v>Eval + dataset quality</x:v>
      </x:c>
      <x:c r="D8" s="99" t="str">
        <x:v>Prompting/RAG cannot achieve stable task performance</x:v>
      </x:c>
      <x:c r="E8" s="99" t="str">
        <x:v>Small LoRA experiment + holdout comparison</x:v>
      </x:c>
      <x:c r="F8" s="99" t="str">
        <x:v>2–3 weeks</x:v>
      </x:c>
      <x:c r="G8" s="99" t="str">
        <x:v>Backlog</x:v>
      </x:c>
    </x:row>
    <x:row r="9" ht="63" customHeight="1">
      <x:c r="A9" s="99" t="str">
        <x:v>MLOps lifecycle</x:v>
      </x:c>
      <x:c r="B9" s="99" t="str">
        <x:v>Later</x:v>
      </x:c>
      <x:c r="C9" s="99" t="str">
        <x:v>Monitoring + Docker</x:v>
      </x:c>
      <x:c r="D9" s="99" t="str">
        <x:v>Models need scheduled training/version promotion/drift monitoring</x:v>
      </x:c>
      <x:c r="E9" s="99" t="str">
        <x:v>Pipeline with experiment tracking and rollback</x:v>
      </x:c>
      <x:c r="F9" s="99" t="str">
        <x:v>2–4 weeks</x:v>
      </x:c>
      <x:c r="G9" s="99" t="str">
        <x:v>Backlog</x:v>
      </x:c>
    </x:row>
    <x:row r="10" ht="63" customHeight="1">
      <x:c r="A10" s="99" t="str">
        <x:v>Advanced inference serving</x:v>
      </x:c>
      <x:c r="B10" s="99" t="str">
        <x:v>Later</x:v>
      </x:c>
      <x:c r="C10" s="99" t="str">
        <x:v>Deployment + profiling</x:v>
      </x:c>
      <x:c r="D10" s="99" t="str">
        <x:v>Self-hosted model cost/latency justify complexity</x:v>
      </x:c>
      <x:c r="E10" s="99" t="str">
        <x:v>Throughput and cost benchmark</x:v>
      </x:c>
      <x:c r="F10" s="99" t="str">
        <x:v>1–2 weeks</x:v>
      </x:c>
      <x:c r="G10" s="99" t="str">
        <x:v>Backlog</x:v>
      </x:c>
    </x:row>
    <x:row r="11" ht="63" customHeight="1">
      <x:c r="A11" s="99" t="str">
        <x:v>GPU optimization</x:v>
      </x:c>
      <x:c r="B11" s="99" t="str">
        <x:v>Optional</x:v>
      </x:c>
      <x:c r="C11" s="99" t="str">
        <x:v>Profiling + model basics</x:v>
      </x:c>
      <x:c r="D11" s="99" t="str">
        <x:v>Hosting large models or custom inference</x:v>
      </x:c>
      <x:c r="E11" s="99" t="str">
        <x:v>Quantization comparison with measured outputs</x:v>
      </x:c>
      <x:c r="F11" s="99" t="str">
        <x:v>1 week</x:v>
      </x:c>
      <x:c r="G11" s="99" t="str">
        <x:v>Backlog</x:v>
      </x:c>
    </x:row>
  </x:sheetData>
  <x:mergeCells>
    <x:mergeCell ref="A1:G2"/>
  </x:mergeCells>
  <x:dataValidations count="1">
    <x:dataValidation type="list" sqref="G5:G11">
      <x:formula1>"Backlog,Exploring,Doing,Done"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29" hidden="0" customWidth="1"/>
    <x:col min="4" max="4" width="19" hidden="0" customWidth="1"/>
    <x:col min="5" max="5" width="18" hidden="0" customWidth="1"/>
    <x:col min="6" max="6" width="17" hidden="0" customWidth="1"/>
    <x:col min="7" max="7" width="23" hidden="0" customWidth="1"/>
    <x:col min="8" max="8" width="22" hidden="0" customWidth="1"/>
    <x:col min="9" max="9" width="20" hidden="0" customWidth="1"/>
    <x:col min="10" max="10" width="23" hidden="0" customWidth="1"/>
    <x:col min="11" max="11" width="48" hidden="0" customWidth="1"/>
  </x:cols>
  <x:sheetData>
    <x:row r="1" ht="29" customHeight="1">
      <x:c r="A1" s="4" t="str">
        <x:v>JOB SEARCH  |  QUALITY-FIRST PIPELINE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6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33" customHeight="1">
      <x:c r="A4" s="79" t="str">
        <x:v>DATE</x:v>
      </x:c>
      <x:c r="B4" s="79" t="str">
        <x:v>COMPANY</x:v>
      </x:c>
      <x:c r="C4" s="79" t="str">
        <x:v>ROLE</x:v>
      </x:c>
      <x:c r="D4" s="79" t="str">
        <x:v>LOCATION</x:v>
      </x:c>
      <x:c r="E4" s="79" t="str">
        <x:v>FIT SCORE</x:v>
      </x:c>
      <x:c r="F4" s="79" t="str">
        <x:v>APPLY MODE</x:v>
      </x:c>
      <x:c r="G4" s="79" t="str">
        <x:v>PIPELINE STATUS</x:v>
      </x:c>
      <x:c r="H4" s="79" t="str">
        <x:v>FOLLOW-UP DATE</x:v>
      </x:c>
      <x:c r="I4" s="79" t="str">
        <x:v>RESUME VERSION</x:v>
      </x:c>
      <x:c r="J4" s="79" t="str">
        <x:v>JOB URL</x:v>
      </x:c>
      <x:c r="K4" s="79" t="str">
        <x:v>NOTES</x:v>
      </x:c>
    </x:row>
    <x:row r="5" ht="26" customHeight="1">
      <x:c r="A5" s="122"/>
      <x:c r="B5" s="120"/>
      <x:c r="C5" s="120"/>
      <x:c r="D5" s="120"/>
      <x:c r="E5" s="120"/>
      <x:c r="F5" s="120"/>
      <x:c r="G5" s="120"/>
      <x:c r="H5" s="122"/>
      <x:c r="I5" s="120"/>
      <x:c r="J5" s="120"/>
      <x:c r="K5" s="120"/>
    </x:row>
    <x:row r="6" ht="26" customHeight="1">
      <x:c r="A6" s="122"/>
      <x:c r="B6" s="120"/>
      <x:c r="C6" s="120"/>
      <x:c r="D6" s="120"/>
      <x:c r="E6" s="120"/>
      <x:c r="F6" s="120"/>
      <x:c r="G6" s="120"/>
      <x:c r="H6" s="122"/>
      <x:c r="I6" s="120"/>
      <x:c r="J6" s="120"/>
      <x:c r="K6" s="120"/>
    </x:row>
    <x:row r="7" ht="26" customHeight="1">
      <x:c r="A7" s="122"/>
      <x:c r="B7" s="120"/>
      <x:c r="C7" s="120"/>
      <x:c r="D7" s="120"/>
      <x:c r="E7" s="120"/>
      <x:c r="F7" s="120"/>
      <x:c r="G7" s="120"/>
      <x:c r="H7" s="122"/>
      <x:c r="I7" s="120"/>
      <x:c r="J7" s="120"/>
      <x:c r="K7" s="120"/>
    </x:row>
    <x:row r="8" ht="26" customHeight="1">
      <x:c r="A8" s="122"/>
      <x:c r="B8" s="120"/>
      <x:c r="C8" s="120"/>
      <x:c r="D8" s="120"/>
      <x:c r="E8" s="120"/>
      <x:c r="F8" s="120"/>
      <x:c r="G8" s="120"/>
      <x:c r="H8" s="122"/>
      <x:c r="I8" s="120"/>
      <x:c r="J8" s="120"/>
      <x:c r="K8" s="120"/>
    </x:row>
    <x:row r="9" ht="26" customHeight="1">
      <x:c r="A9" s="122"/>
      <x:c r="B9" s="120"/>
      <x:c r="C9" s="120"/>
      <x:c r="D9" s="120"/>
      <x:c r="E9" s="120"/>
      <x:c r="F9" s="120"/>
      <x:c r="G9" s="120"/>
      <x:c r="H9" s="122"/>
      <x:c r="I9" s="120"/>
      <x:c r="J9" s="120"/>
      <x:c r="K9" s="120"/>
    </x:row>
    <x:row r="10" ht="26" customHeight="1">
      <x:c r="A10" s="122"/>
      <x:c r="B10" s="120"/>
      <x:c r="C10" s="120"/>
      <x:c r="D10" s="120"/>
      <x:c r="E10" s="120"/>
      <x:c r="F10" s="120"/>
      <x:c r="G10" s="120"/>
      <x:c r="H10" s="122"/>
      <x:c r="I10" s="120"/>
      <x:c r="J10" s="120"/>
      <x:c r="K10" s="120"/>
    </x:row>
    <x:row r="11" ht="26" customHeight="1">
      <x:c r="A11" s="122"/>
      <x:c r="B11" s="120"/>
      <x:c r="C11" s="120"/>
      <x:c r="D11" s="120"/>
      <x:c r="E11" s="120"/>
      <x:c r="F11" s="120"/>
      <x:c r="G11" s="120"/>
      <x:c r="H11" s="122"/>
      <x:c r="I11" s="120"/>
      <x:c r="J11" s="120"/>
      <x:c r="K11" s="120"/>
    </x:row>
    <x:row r="12" ht="26" customHeight="1">
      <x:c r="A12" s="122"/>
      <x:c r="B12" s="120"/>
      <x:c r="C12" s="120"/>
      <x:c r="D12" s="120"/>
      <x:c r="E12" s="120"/>
      <x:c r="F12" s="120"/>
      <x:c r="G12" s="120"/>
      <x:c r="H12" s="122"/>
      <x:c r="I12" s="120"/>
      <x:c r="J12" s="120"/>
      <x:c r="K12" s="120"/>
    </x:row>
    <x:row r="13" ht="26" customHeight="1">
      <x:c r="A13" s="122"/>
      <x:c r="B13" s="120"/>
      <x:c r="C13" s="120"/>
      <x:c r="D13" s="120"/>
      <x:c r="E13" s="120"/>
      <x:c r="F13" s="120"/>
      <x:c r="G13" s="120"/>
      <x:c r="H13" s="122"/>
      <x:c r="I13" s="120"/>
      <x:c r="J13" s="120"/>
      <x:c r="K13" s="120"/>
    </x:row>
    <x:row r="14" ht="26" customHeight="1">
      <x:c r="A14" s="122"/>
      <x:c r="B14" s="120"/>
      <x:c r="C14" s="120"/>
      <x:c r="D14" s="120"/>
      <x:c r="E14" s="120"/>
      <x:c r="F14" s="120"/>
      <x:c r="G14" s="120"/>
      <x:c r="H14" s="122"/>
      <x:c r="I14" s="120"/>
      <x:c r="J14" s="120"/>
      <x:c r="K14" s="120"/>
    </x:row>
    <x:row r="15" ht="26" customHeight="1">
      <x:c r="A15" s="122"/>
      <x:c r="B15" s="120"/>
      <x:c r="C15" s="120"/>
      <x:c r="D15" s="120"/>
      <x:c r="E15" s="120"/>
      <x:c r="F15" s="120"/>
      <x:c r="G15" s="120"/>
      <x:c r="H15" s="122"/>
      <x:c r="I15" s="120"/>
      <x:c r="J15" s="120"/>
      <x:c r="K15" s="120"/>
    </x:row>
    <x:row r="16" ht="26" customHeight="1">
      <x:c r="A16" s="122"/>
      <x:c r="B16" s="120"/>
      <x:c r="C16" s="120"/>
      <x:c r="D16" s="120"/>
      <x:c r="E16" s="120"/>
      <x:c r="F16" s="120"/>
      <x:c r="G16" s="120"/>
      <x:c r="H16" s="122"/>
      <x:c r="I16" s="120"/>
      <x:c r="J16" s="120"/>
      <x:c r="K16" s="120"/>
    </x:row>
    <x:row r="17" ht="26" customHeight="1">
      <x:c r="A17" s="122"/>
      <x:c r="B17" s="120"/>
      <x:c r="C17" s="120"/>
      <x:c r="D17" s="120"/>
      <x:c r="E17" s="120"/>
      <x:c r="F17" s="120"/>
      <x:c r="G17" s="120"/>
      <x:c r="H17" s="122"/>
      <x:c r="I17" s="120"/>
      <x:c r="J17" s="120"/>
      <x:c r="K17" s="120"/>
    </x:row>
    <x:row r="18" ht="26" customHeight="1">
      <x:c r="A18" s="122"/>
      <x:c r="B18" s="120"/>
      <x:c r="C18" s="120"/>
      <x:c r="D18" s="120"/>
      <x:c r="E18" s="120"/>
      <x:c r="F18" s="120"/>
      <x:c r="G18" s="120"/>
      <x:c r="H18" s="122"/>
      <x:c r="I18" s="120"/>
      <x:c r="J18" s="120"/>
      <x:c r="K18" s="120"/>
    </x:row>
    <x:row r="19" ht="26" customHeight="1">
      <x:c r="A19" s="122"/>
      <x:c r="B19" s="120"/>
      <x:c r="C19" s="120"/>
      <x:c r="D19" s="120"/>
      <x:c r="E19" s="120"/>
      <x:c r="F19" s="120"/>
      <x:c r="G19" s="120"/>
      <x:c r="H19" s="122"/>
      <x:c r="I19" s="120"/>
      <x:c r="J19" s="120"/>
      <x:c r="K19" s="120"/>
    </x:row>
    <x:row r="20" ht="26" customHeight="1">
      <x:c r="A20" s="122"/>
      <x:c r="B20" s="120"/>
      <x:c r="C20" s="120"/>
      <x:c r="D20" s="120"/>
      <x:c r="E20" s="120"/>
      <x:c r="F20" s="120"/>
      <x:c r="G20" s="120"/>
      <x:c r="H20" s="122"/>
      <x:c r="I20" s="120"/>
      <x:c r="J20" s="120"/>
      <x:c r="K20" s="120"/>
    </x:row>
    <x:row r="21" ht="26" customHeight="1">
      <x:c r="A21" s="122"/>
      <x:c r="B21" s="120"/>
      <x:c r="C21" s="120"/>
      <x:c r="D21" s="120"/>
      <x:c r="E21" s="120"/>
      <x:c r="F21" s="120"/>
      <x:c r="G21" s="120"/>
      <x:c r="H21" s="122"/>
      <x:c r="I21" s="120"/>
      <x:c r="J21" s="120"/>
      <x:c r="K21" s="120"/>
    </x:row>
    <x:row r="22" ht="26" customHeight="1">
      <x:c r="A22" s="122"/>
      <x:c r="B22" s="120"/>
      <x:c r="C22" s="120"/>
      <x:c r="D22" s="120"/>
      <x:c r="E22" s="120"/>
      <x:c r="F22" s="120"/>
      <x:c r="G22" s="120"/>
      <x:c r="H22" s="122"/>
      <x:c r="I22" s="120"/>
      <x:c r="J22" s="120"/>
      <x:c r="K22" s="120"/>
    </x:row>
    <x:row r="23" ht="26" customHeight="1">
      <x:c r="A23" s="122"/>
      <x:c r="B23" s="120"/>
      <x:c r="C23" s="120"/>
      <x:c r="D23" s="120"/>
      <x:c r="E23" s="120"/>
      <x:c r="F23" s="120"/>
      <x:c r="G23" s="120"/>
      <x:c r="H23" s="122"/>
      <x:c r="I23" s="120"/>
      <x:c r="J23" s="120"/>
      <x:c r="K23" s="120"/>
    </x:row>
    <x:row r="24" ht="26" customHeight="1">
      <x:c r="A24" s="122"/>
      <x:c r="B24" s="120"/>
      <x:c r="C24" s="120"/>
      <x:c r="D24" s="120"/>
      <x:c r="E24" s="120"/>
      <x:c r="F24" s="120"/>
      <x:c r="G24" s="120"/>
      <x:c r="H24" s="122"/>
      <x:c r="I24" s="120"/>
      <x:c r="J24" s="120"/>
      <x:c r="K24" s="120"/>
    </x:row>
    <x:row r="25" ht="26" customHeight="1">
      <x:c r="A25" s="122"/>
      <x:c r="B25" s="120"/>
      <x:c r="C25" s="120"/>
      <x:c r="D25" s="120"/>
      <x:c r="E25" s="120"/>
      <x:c r="F25" s="120"/>
      <x:c r="G25" s="120"/>
      <x:c r="H25" s="122"/>
      <x:c r="I25" s="120"/>
      <x:c r="J25" s="120"/>
      <x:c r="K25" s="120"/>
    </x:row>
    <x:row r="26" ht="26" customHeight="1">
      <x:c r="A26" s="122"/>
      <x:c r="B26" s="120"/>
      <x:c r="C26" s="120"/>
      <x:c r="D26" s="120"/>
      <x:c r="E26" s="120"/>
      <x:c r="F26" s="120"/>
      <x:c r="G26" s="120"/>
      <x:c r="H26" s="122"/>
      <x:c r="I26" s="120"/>
      <x:c r="J26" s="120"/>
      <x:c r="K26" s="120"/>
    </x:row>
    <x:row r="27" ht="26" customHeight="1">
      <x:c r="A27" s="122"/>
      <x:c r="B27" s="120"/>
      <x:c r="C27" s="120"/>
      <x:c r="D27" s="120"/>
      <x:c r="E27" s="120"/>
      <x:c r="F27" s="120"/>
      <x:c r="G27" s="120"/>
      <x:c r="H27" s="122"/>
      <x:c r="I27" s="120"/>
      <x:c r="J27" s="120"/>
      <x:c r="K27" s="120"/>
    </x:row>
    <x:row r="28" ht="26" customHeight="1">
      <x:c r="A28" s="122"/>
      <x:c r="B28" s="120"/>
      <x:c r="C28" s="120"/>
      <x:c r="D28" s="120"/>
      <x:c r="E28" s="120"/>
      <x:c r="F28" s="120"/>
      <x:c r="G28" s="120"/>
      <x:c r="H28" s="122"/>
      <x:c r="I28" s="120"/>
      <x:c r="J28" s="120"/>
      <x:c r="K28" s="120"/>
    </x:row>
    <x:row r="29" ht="26" customHeight="1">
      <x:c r="A29" s="122"/>
      <x:c r="B29" s="120"/>
      <x:c r="C29" s="120"/>
      <x:c r="D29" s="120"/>
      <x:c r="E29" s="120"/>
      <x:c r="F29" s="120"/>
      <x:c r="G29" s="120"/>
      <x:c r="H29" s="122"/>
      <x:c r="I29" s="120"/>
      <x:c r="J29" s="120"/>
      <x:c r="K29" s="120"/>
    </x:row>
    <x:row r="30" ht="26" customHeight="1">
      <x:c r="A30" s="122"/>
      <x:c r="B30" s="120"/>
      <x:c r="C30" s="120"/>
      <x:c r="D30" s="120"/>
      <x:c r="E30" s="120"/>
      <x:c r="F30" s="120"/>
      <x:c r="G30" s="120"/>
      <x:c r="H30" s="122"/>
      <x:c r="I30" s="120"/>
      <x:c r="J30" s="120"/>
      <x:c r="K30" s="120"/>
    </x:row>
    <x:row r="31" ht="26" customHeight="1">
      <x:c r="A31" s="122"/>
      <x:c r="B31" s="120"/>
      <x:c r="C31" s="120"/>
      <x:c r="D31" s="120"/>
      <x:c r="E31" s="120"/>
      <x:c r="F31" s="120"/>
      <x:c r="G31" s="120"/>
      <x:c r="H31" s="122"/>
      <x:c r="I31" s="120"/>
      <x:c r="J31" s="120"/>
      <x:c r="K31" s="120"/>
    </x:row>
    <x:row r="32" ht="26" customHeight="1">
      <x:c r="A32" s="122"/>
      <x:c r="B32" s="120"/>
      <x:c r="C32" s="120"/>
      <x:c r="D32" s="120"/>
      <x:c r="E32" s="120"/>
      <x:c r="F32" s="120"/>
      <x:c r="G32" s="120"/>
      <x:c r="H32" s="122"/>
      <x:c r="I32" s="120"/>
      <x:c r="J32" s="120"/>
      <x:c r="K32" s="120"/>
    </x:row>
    <x:row r="33" ht="26" customHeight="1">
      <x:c r="A33" s="122"/>
      <x:c r="B33" s="120"/>
      <x:c r="C33" s="120"/>
      <x:c r="D33" s="120"/>
      <x:c r="E33" s="120"/>
      <x:c r="F33" s="120"/>
      <x:c r="G33" s="120"/>
      <x:c r="H33" s="122"/>
      <x:c r="I33" s="120"/>
      <x:c r="J33" s="120"/>
      <x:c r="K33" s="120"/>
    </x:row>
    <x:row r="34" ht="26" customHeight="1">
      <x:c r="A34" s="122"/>
      <x:c r="B34" s="120"/>
      <x:c r="C34" s="120"/>
      <x:c r="D34" s="120"/>
      <x:c r="E34" s="120"/>
      <x:c r="F34" s="120"/>
      <x:c r="G34" s="120"/>
      <x:c r="H34" s="122"/>
      <x:c r="I34" s="120"/>
      <x:c r="J34" s="120"/>
      <x:c r="K34" s="120"/>
    </x:row>
    <x:row r="35" ht="26" customHeight="1">
      <x:c r="A35" s="122"/>
      <x:c r="B35" s="120"/>
      <x:c r="C35" s="120"/>
      <x:c r="D35" s="120"/>
      <x:c r="E35" s="120"/>
      <x:c r="F35" s="120"/>
      <x:c r="G35" s="120"/>
      <x:c r="H35" s="122"/>
      <x:c r="I35" s="120"/>
      <x:c r="J35" s="120"/>
      <x:c r="K35" s="120"/>
    </x:row>
    <x:row r="36" ht="26" customHeight="1">
      <x:c r="A36" s="122"/>
      <x:c r="B36" s="120"/>
      <x:c r="C36" s="120"/>
      <x:c r="D36" s="120"/>
      <x:c r="E36" s="120"/>
      <x:c r="F36" s="120"/>
      <x:c r="G36" s="120"/>
      <x:c r="H36" s="122"/>
      <x:c r="I36" s="120"/>
      <x:c r="J36" s="120"/>
      <x:c r="K36" s="120"/>
    </x:row>
    <x:row r="37" ht="26" customHeight="1">
      <x:c r="A37" s="122"/>
      <x:c r="B37" s="120"/>
      <x:c r="C37" s="120"/>
      <x:c r="D37" s="120"/>
      <x:c r="E37" s="120"/>
      <x:c r="F37" s="120"/>
      <x:c r="G37" s="120"/>
      <x:c r="H37" s="122"/>
      <x:c r="I37" s="120"/>
      <x:c r="J37" s="120"/>
      <x:c r="K37" s="120"/>
    </x:row>
    <x:row r="38" ht="26" customHeight="1">
      <x:c r="A38" s="122"/>
      <x:c r="B38" s="120"/>
      <x:c r="C38" s="120"/>
      <x:c r="D38" s="120"/>
      <x:c r="E38" s="120"/>
      <x:c r="F38" s="120"/>
      <x:c r="G38" s="120"/>
      <x:c r="H38" s="122"/>
      <x:c r="I38" s="120"/>
      <x:c r="J38" s="120"/>
      <x:c r="K38" s="120"/>
    </x:row>
    <x:row r="39" ht="26" customHeight="1">
      <x:c r="A39" s="122"/>
      <x:c r="B39" s="120"/>
      <x:c r="C39" s="120"/>
      <x:c r="D39" s="120"/>
      <x:c r="E39" s="120"/>
      <x:c r="F39" s="120"/>
      <x:c r="G39" s="120"/>
      <x:c r="H39" s="122"/>
      <x:c r="I39" s="120"/>
      <x:c r="J39" s="120"/>
      <x:c r="K39" s="120"/>
    </x:row>
    <x:row r="40" ht="26" customHeight="1">
      <x:c r="A40" s="122"/>
      <x:c r="B40" s="120"/>
      <x:c r="C40" s="120"/>
      <x:c r="D40" s="120"/>
      <x:c r="E40" s="120"/>
      <x:c r="F40" s="120"/>
      <x:c r="G40" s="120"/>
      <x:c r="H40" s="122"/>
      <x:c r="I40" s="120"/>
      <x:c r="J40" s="120"/>
      <x:c r="K40" s="120"/>
    </x:row>
    <x:row r="41" ht="26" customHeight="1">
      <x:c r="A41" s="122"/>
      <x:c r="B41" s="120"/>
      <x:c r="C41" s="120"/>
      <x:c r="D41" s="120"/>
      <x:c r="E41" s="120"/>
      <x:c r="F41" s="120"/>
      <x:c r="G41" s="120"/>
      <x:c r="H41" s="122"/>
      <x:c r="I41" s="120"/>
      <x:c r="J41" s="120"/>
      <x:c r="K41" s="120"/>
    </x:row>
    <x:row r="42" ht="26" customHeight="1">
      <x:c r="A42" s="122"/>
      <x:c r="B42" s="120"/>
      <x:c r="C42" s="120"/>
      <x:c r="D42" s="120"/>
      <x:c r="E42" s="120"/>
      <x:c r="F42" s="120"/>
      <x:c r="G42" s="120"/>
      <x:c r="H42" s="122"/>
      <x:c r="I42" s="120"/>
      <x:c r="J42" s="120"/>
      <x:c r="K42" s="120"/>
    </x:row>
    <x:row r="43" ht="26" customHeight="1">
      <x:c r="A43" s="122"/>
      <x:c r="B43" s="120"/>
      <x:c r="C43" s="120"/>
      <x:c r="D43" s="120"/>
      <x:c r="E43" s="120"/>
      <x:c r="F43" s="120"/>
      <x:c r="G43" s="120"/>
      <x:c r="H43" s="122"/>
      <x:c r="I43" s="120"/>
      <x:c r="J43" s="120"/>
      <x:c r="K43" s="120"/>
    </x:row>
    <x:row r="44" ht="26" customHeight="1">
      <x:c r="A44" s="122"/>
      <x:c r="B44" s="120"/>
      <x:c r="C44" s="120"/>
      <x:c r="D44" s="120"/>
      <x:c r="E44" s="120"/>
      <x:c r="F44" s="120"/>
      <x:c r="G44" s="120"/>
      <x:c r="H44" s="122"/>
      <x:c r="I44" s="120"/>
      <x:c r="J44" s="120"/>
      <x:c r="K44" s="120"/>
    </x:row>
    <x:row r="45" ht="26" customHeight="1">
      <x:c r="A45" s="122"/>
      <x:c r="B45" s="120"/>
      <x:c r="C45" s="120"/>
      <x:c r="D45" s="120"/>
      <x:c r="E45" s="120"/>
      <x:c r="F45" s="120"/>
      <x:c r="G45" s="120"/>
      <x:c r="H45" s="122"/>
      <x:c r="I45" s="120"/>
      <x:c r="J45" s="120"/>
      <x:c r="K45" s="120"/>
    </x:row>
    <x:row r="46" ht="26" customHeight="1">
      <x:c r="A46" s="122"/>
      <x:c r="B46" s="120"/>
      <x:c r="C46" s="120"/>
      <x:c r="D46" s="120"/>
      <x:c r="E46" s="120"/>
      <x:c r="F46" s="120"/>
      <x:c r="G46" s="120"/>
      <x:c r="H46" s="122"/>
      <x:c r="I46" s="120"/>
      <x:c r="J46" s="120"/>
      <x:c r="K46" s="120"/>
    </x:row>
    <x:row r="47" ht="26" customHeight="1">
      <x:c r="A47" s="122"/>
      <x:c r="B47" s="120"/>
      <x:c r="C47" s="120"/>
      <x:c r="D47" s="120"/>
      <x:c r="E47" s="120"/>
      <x:c r="F47" s="120"/>
      <x:c r="G47" s="120"/>
      <x:c r="H47" s="122"/>
      <x:c r="I47" s="120"/>
      <x:c r="J47" s="120"/>
      <x:c r="K47" s="120"/>
    </x:row>
    <x:row r="48" ht="26" customHeight="1">
      <x:c r="A48" s="122"/>
      <x:c r="B48" s="120"/>
      <x:c r="C48" s="120"/>
      <x:c r="D48" s="120"/>
      <x:c r="E48" s="120"/>
      <x:c r="F48" s="120"/>
      <x:c r="G48" s="120"/>
      <x:c r="H48" s="122"/>
      <x:c r="I48" s="120"/>
      <x:c r="J48" s="120"/>
      <x:c r="K48" s="120"/>
    </x:row>
    <x:row r="49" ht="26" customHeight="1">
      <x:c r="A49" s="122"/>
      <x:c r="B49" s="120"/>
      <x:c r="C49" s="120"/>
      <x:c r="D49" s="120"/>
      <x:c r="E49" s="120"/>
      <x:c r="F49" s="120"/>
      <x:c r="G49" s="120"/>
      <x:c r="H49" s="122"/>
      <x:c r="I49" s="120"/>
      <x:c r="J49" s="120"/>
      <x:c r="K49" s="120"/>
    </x:row>
    <x:row r="50" ht="26" customHeight="1">
      <x:c r="A50" s="122"/>
      <x:c r="B50" s="120"/>
      <x:c r="C50" s="120"/>
      <x:c r="D50" s="120"/>
      <x:c r="E50" s="120"/>
      <x:c r="F50" s="120"/>
      <x:c r="G50" s="120"/>
      <x:c r="H50" s="122"/>
      <x:c r="I50" s="120"/>
      <x:c r="J50" s="120"/>
      <x:c r="K50" s="120"/>
    </x:row>
    <x:row r="51" ht="26" customHeight="1">
      <x:c r="A51" s="122"/>
      <x:c r="B51" s="120"/>
      <x:c r="C51" s="120"/>
      <x:c r="D51" s="120"/>
      <x:c r="E51" s="120"/>
      <x:c r="F51" s="120"/>
      <x:c r="G51" s="120"/>
      <x:c r="H51" s="122"/>
      <x:c r="I51" s="120"/>
      <x:c r="J51" s="120"/>
      <x:c r="K51" s="120"/>
    </x:row>
    <x:row r="52" ht="26" customHeight="1">
      <x:c r="A52" s="122"/>
      <x:c r="B52" s="120"/>
      <x:c r="C52" s="120"/>
      <x:c r="D52" s="120"/>
      <x:c r="E52" s="120"/>
      <x:c r="F52" s="120"/>
      <x:c r="G52" s="120"/>
      <x:c r="H52" s="122"/>
      <x:c r="I52" s="120"/>
      <x:c r="J52" s="120"/>
      <x:c r="K52" s="120"/>
    </x:row>
    <x:row r="53" ht="26" customHeight="1">
      <x:c r="A53" s="122"/>
      <x:c r="B53" s="120"/>
      <x:c r="C53" s="120"/>
      <x:c r="D53" s="120"/>
      <x:c r="E53" s="120"/>
      <x:c r="F53" s="120"/>
      <x:c r="G53" s="120"/>
      <x:c r="H53" s="122"/>
      <x:c r="I53" s="120"/>
      <x:c r="J53" s="120"/>
      <x:c r="K53" s="120"/>
    </x:row>
    <x:row r="54" ht="26" customHeight="1">
      <x:c r="A54" s="122"/>
      <x:c r="B54" s="120"/>
      <x:c r="C54" s="120"/>
      <x:c r="D54" s="120"/>
      <x:c r="E54" s="120"/>
      <x:c r="F54" s="120"/>
      <x:c r="G54" s="120"/>
      <x:c r="H54" s="122"/>
      <x:c r="I54" s="120"/>
      <x:c r="J54" s="120"/>
      <x:c r="K54" s="120"/>
    </x:row>
    <x:row r="55" ht="26" customHeight="1">
      <x:c r="A55" s="122"/>
      <x:c r="B55" s="120"/>
      <x:c r="C55" s="120"/>
      <x:c r="D55" s="120"/>
      <x:c r="E55" s="120"/>
      <x:c r="F55" s="120"/>
      <x:c r="G55" s="120"/>
      <x:c r="H55" s="122"/>
      <x:c r="I55" s="120"/>
      <x:c r="J55" s="120"/>
      <x:c r="K55" s="120"/>
    </x:row>
    <x:row r="56" ht="26" customHeight="1">
      <x:c r="A56" s="122"/>
      <x:c r="B56" s="120"/>
      <x:c r="C56" s="120"/>
      <x:c r="D56" s="120"/>
      <x:c r="E56" s="120"/>
      <x:c r="F56" s="120"/>
      <x:c r="G56" s="120"/>
      <x:c r="H56" s="122"/>
      <x:c r="I56" s="120"/>
      <x:c r="J56" s="120"/>
      <x:c r="K56" s="120"/>
    </x:row>
    <x:row r="57" ht="26" customHeight="1">
      <x:c r="A57" s="122"/>
      <x:c r="B57" s="120"/>
      <x:c r="C57" s="120"/>
      <x:c r="D57" s="120"/>
      <x:c r="E57" s="120"/>
      <x:c r="F57" s="120"/>
      <x:c r="G57" s="120"/>
      <x:c r="H57" s="122"/>
      <x:c r="I57" s="120"/>
      <x:c r="J57" s="120"/>
      <x:c r="K57" s="120"/>
    </x:row>
    <x:row r="58" ht="26" customHeight="1">
      <x:c r="A58" s="122"/>
      <x:c r="B58" s="120"/>
      <x:c r="C58" s="120"/>
      <x:c r="D58" s="120"/>
      <x:c r="E58" s="120"/>
      <x:c r="F58" s="120"/>
      <x:c r="G58" s="120"/>
      <x:c r="H58" s="122"/>
      <x:c r="I58" s="120"/>
      <x:c r="J58" s="120"/>
      <x:c r="K58" s="120"/>
    </x:row>
    <x:row r="59" ht="26" customHeight="1">
      <x:c r="A59" s="122"/>
      <x:c r="B59" s="120"/>
      <x:c r="C59" s="120"/>
      <x:c r="D59" s="120"/>
      <x:c r="E59" s="120"/>
      <x:c r="F59" s="120"/>
      <x:c r="G59" s="120"/>
      <x:c r="H59" s="122"/>
      <x:c r="I59" s="120"/>
      <x:c r="J59" s="120"/>
      <x:c r="K59" s="120"/>
    </x:row>
    <x:row r="60" ht="26" customHeight="1">
      <x:c r="A60" s="122"/>
      <x:c r="B60" s="120"/>
      <x:c r="C60" s="120"/>
      <x:c r="D60" s="120"/>
      <x:c r="E60" s="120"/>
      <x:c r="F60" s="120"/>
      <x:c r="G60" s="120"/>
      <x:c r="H60" s="122"/>
      <x:c r="I60" s="120"/>
      <x:c r="J60" s="120"/>
      <x:c r="K60" s="120"/>
    </x:row>
    <x:row r="61" ht="26" customHeight="1">
      <x:c r="A61" s="122"/>
      <x:c r="B61" s="120"/>
      <x:c r="C61" s="120"/>
      <x:c r="D61" s="120"/>
      <x:c r="E61" s="120"/>
      <x:c r="F61" s="120"/>
      <x:c r="G61" s="120"/>
      <x:c r="H61" s="122"/>
      <x:c r="I61" s="120"/>
      <x:c r="J61" s="120"/>
      <x:c r="K61" s="120"/>
    </x:row>
    <x:row r="62" ht="26" customHeight="1">
      <x:c r="A62" s="122"/>
      <x:c r="B62" s="120"/>
      <x:c r="C62" s="120"/>
      <x:c r="D62" s="120"/>
      <x:c r="E62" s="120"/>
      <x:c r="F62" s="120"/>
      <x:c r="G62" s="120"/>
      <x:c r="H62" s="122"/>
      <x:c r="I62" s="120"/>
      <x:c r="J62" s="120"/>
      <x:c r="K62" s="120"/>
    </x:row>
    <x:row r="63" ht="26" customHeight="1">
      <x:c r="A63" s="122"/>
      <x:c r="B63" s="120"/>
      <x:c r="C63" s="120"/>
      <x:c r="D63" s="120"/>
      <x:c r="E63" s="120"/>
      <x:c r="F63" s="120"/>
      <x:c r="G63" s="120"/>
      <x:c r="H63" s="122"/>
      <x:c r="I63" s="120"/>
      <x:c r="J63" s="120"/>
      <x:c r="K63" s="120"/>
    </x:row>
    <x:row r="64" ht="26" customHeight="1">
      <x:c r="A64" s="122"/>
      <x:c r="B64" s="120"/>
      <x:c r="C64" s="120"/>
      <x:c r="D64" s="120"/>
      <x:c r="E64" s="120"/>
      <x:c r="F64" s="120"/>
      <x:c r="G64" s="120"/>
      <x:c r="H64" s="122"/>
      <x:c r="I64" s="120"/>
      <x:c r="J64" s="120"/>
      <x:c r="K64" s="120"/>
    </x:row>
    <x:row r="65" ht="26" customHeight="1">
      <x:c r="A65" s="122"/>
      <x:c r="B65" s="120"/>
      <x:c r="C65" s="120"/>
      <x:c r="D65" s="120"/>
      <x:c r="E65" s="120"/>
      <x:c r="F65" s="120"/>
      <x:c r="G65" s="120"/>
      <x:c r="H65" s="122"/>
      <x:c r="I65" s="120"/>
      <x:c r="J65" s="120"/>
      <x:c r="K65" s="120"/>
    </x:row>
    <x:row r="66" ht="26" customHeight="1">
      <x:c r="A66" s="122"/>
      <x:c r="B66" s="120"/>
      <x:c r="C66" s="120"/>
      <x:c r="D66" s="120"/>
      <x:c r="E66" s="120"/>
      <x:c r="F66" s="120"/>
      <x:c r="G66" s="120"/>
      <x:c r="H66" s="122"/>
      <x:c r="I66" s="120"/>
      <x:c r="J66" s="120"/>
      <x:c r="K66" s="120"/>
    </x:row>
    <x:row r="67" ht="26" customHeight="1">
      <x:c r="A67" s="122"/>
      <x:c r="B67" s="120"/>
      <x:c r="C67" s="120"/>
      <x:c r="D67" s="120"/>
      <x:c r="E67" s="120"/>
      <x:c r="F67" s="120"/>
      <x:c r="G67" s="120"/>
      <x:c r="H67" s="122"/>
      <x:c r="I67" s="120"/>
      <x:c r="J67" s="120"/>
      <x:c r="K67" s="120"/>
    </x:row>
    <x:row r="68" ht="26" customHeight="1">
      <x:c r="A68" s="122"/>
      <x:c r="B68" s="120"/>
      <x:c r="C68" s="120"/>
      <x:c r="D68" s="120"/>
      <x:c r="E68" s="120"/>
      <x:c r="F68" s="120"/>
      <x:c r="G68" s="120"/>
      <x:c r="H68" s="122"/>
      <x:c r="I68" s="120"/>
      <x:c r="J68" s="120"/>
      <x:c r="K68" s="120"/>
    </x:row>
    <x:row r="69" ht="26" customHeight="1">
      <x:c r="A69" s="122"/>
      <x:c r="B69" s="120"/>
      <x:c r="C69" s="120"/>
      <x:c r="D69" s="120"/>
      <x:c r="E69" s="120"/>
      <x:c r="F69" s="120"/>
      <x:c r="G69" s="120"/>
      <x:c r="H69" s="122"/>
      <x:c r="I69" s="120"/>
      <x:c r="J69" s="120"/>
      <x:c r="K69" s="120"/>
    </x:row>
    <x:row r="70" ht="26" customHeight="1">
      <x:c r="A70" s="122"/>
      <x:c r="B70" s="120"/>
      <x:c r="C70" s="120"/>
      <x:c r="D70" s="120"/>
      <x:c r="E70" s="120"/>
      <x:c r="F70" s="120"/>
      <x:c r="G70" s="120"/>
      <x:c r="H70" s="122"/>
      <x:c r="I70" s="120"/>
      <x:c r="J70" s="120"/>
      <x:c r="K70" s="120"/>
    </x:row>
    <x:row r="71" ht="26" customHeight="1">
      <x:c r="A71" s="122"/>
      <x:c r="B71" s="120"/>
      <x:c r="C71" s="120"/>
      <x:c r="D71" s="120"/>
      <x:c r="E71" s="120"/>
      <x:c r="F71" s="120"/>
      <x:c r="G71" s="120"/>
      <x:c r="H71" s="122"/>
      <x:c r="I71" s="120"/>
      <x:c r="J71" s="120"/>
      <x:c r="K71" s="120"/>
    </x:row>
    <x:row r="72" ht="26" customHeight="1">
      <x:c r="A72" s="122"/>
      <x:c r="B72" s="120"/>
      <x:c r="C72" s="120"/>
      <x:c r="D72" s="120"/>
      <x:c r="E72" s="120"/>
      <x:c r="F72" s="120"/>
      <x:c r="G72" s="120"/>
      <x:c r="H72" s="122"/>
      <x:c r="I72" s="120"/>
      <x:c r="J72" s="120"/>
      <x:c r="K72" s="120"/>
    </x:row>
    <x:row r="73" ht="26" customHeight="1">
      <x:c r="A73" s="122"/>
      <x:c r="B73" s="120"/>
      <x:c r="C73" s="120"/>
      <x:c r="D73" s="120"/>
      <x:c r="E73" s="120"/>
      <x:c r="F73" s="120"/>
      <x:c r="G73" s="120"/>
      <x:c r="H73" s="122"/>
      <x:c r="I73" s="120"/>
      <x:c r="J73" s="120"/>
      <x:c r="K73" s="120"/>
    </x:row>
    <x:row r="74" ht="26" customHeight="1">
      <x:c r="A74" s="122"/>
      <x:c r="B74" s="120"/>
      <x:c r="C74" s="120"/>
      <x:c r="D74" s="120"/>
      <x:c r="E74" s="120"/>
      <x:c r="F74" s="120"/>
      <x:c r="G74" s="120"/>
      <x:c r="H74" s="122"/>
      <x:c r="I74" s="120"/>
      <x:c r="J74" s="120"/>
      <x:c r="K74" s="120"/>
    </x:row>
    <x:row r="75" ht="26" customHeight="1">
      <x:c r="A75" s="122"/>
      <x:c r="B75" s="120"/>
      <x:c r="C75" s="120"/>
      <x:c r="D75" s="120"/>
      <x:c r="E75" s="120"/>
      <x:c r="F75" s="120"/>
      <x:c r="G75" s="120"/>
      <x:c r="H75" s="122"/>
      <x:c r="I75" s="120"/>
      <x:c r="J75" s="120"/>
      <x:c r="K75" s="120"/>
    </x:row>
    <x:row r="76" ht="26" customHeight="1">
      <x:c r="A76" s="122"/>
      <x:c r="B76" s="120"/>
      <x:c r="C76" s="120"/>
      <x:c r="D76" s="120"/>
      <x:c r="E76" s="120"/>
      <x:c r="F76" s="120"/>
      <x:c r="G76" s="120"/>
      <x:c r="H76" s="122"/>
      <x:c r="I76" s="120"/>
      <x:c r="J76" s="120"/>
      <x:c r="K76" s="120"/>
    </x:row>
    <x:row r="77" ht="26" customHeight="1">
      <x:c r="A77" s="122"/>
      <x:c r="B77" s="120"/>
      <x:c r="C77" s="120"/>
      <x:c r="D77" s="120"/>
      <x:c r="E77" s="120"/>
      <x:c r="F77" s="120"/>
      <x:c r="G77" s="120"/>
      <x:c r="H77" s="122"/>
      <x:c r="I77" s="120"/>
      <x:c r="J77" s="120"/>
      <x:c r="K77" s="120"/>
    </x:row>
    <x:row r="78" ht="26" customHeight="1">
      <x:c r="A78" s="122"/>
      <x:c r="B78" s="120"/>
      <x:c r="C78" s="120"/>
      <x:c r="D78" s="120"/>
      <x:c r="E78" s="120"/>
      <x:c r="F78" s="120"/>
      <x:c r="G78" s="120"/>
      <x:c r="H78" s="122"/>
      <x:c r="I78" s="120"/>
      <x:c r="J78" s="120"/>
      <x:c r="K78" s="120"/>
    </x:row>
    <x:row r="79" ht="26" customHeight="1">
      <x:c r="A79" s="122"/>
      <x:c r="B79" s="120"/>
      <x:c r="C79" s="120"/>
      <x:c r="D79" s="120"/>
      <x:c r="E79" s="120"/>
      <x:c r="F79" s="120"/>
      <x:c r="G79" s="120"/>
      <x:c r="H79" s="122"/>
      <x:c r="I79" s="120"/>
      <x:c r="J79" s="120"/>
      <x:c r="K79" s="120"/>
    </x:row>
    <x:row r="80" ht="26" customHeight="1">
      <x:c r="A80" s="122"/>
      <x:c r="B80" s="120"/>
      <x:c r="C80" s="120"/>
      <x:c r="D80" s="120"/>
      <x:c r="E80" s="120"/>
      <x:c r="F80" s="120"/>
      <x:c r="G80" s="120"/>
      <x:c r="H80" s="122"/>
      <x:c r="I80" s="120"/>
      <x:c r="J80" s="120"/>
      <x:c r="K80" s="120"/>
    </x:row>
    <x:row r="81" ht="26" customHeight="1">
      <x:c r="A81" s="122"/>
      <x:c r="B81" s="120"/>
      <x:c r="C81" s="120"/>
      <x:c r="D81" s="120"/>
      <x:c r="E81" s="120"/>
      <x:c r="F81" s="120"/>
      <x:c r="G81" s="120"/>
      <x:c r="H81" s="122"/>
      <x:c r="I81" s="120"/>
      <x:c r="J81" s="120"/>
      <x:c r="K81" s="120"/>
    </x:row>
    <x:row r="82" ht="26" customHeight="1">
      <x:c r="A82" s="122"/>
      <x:c r="B82" s="120"/>
      <x:c r="C82" s="120"/>
      <x:c r="D82" s="120"/>
      <x:c r="E82" s="120"/>
      <x:c r="F82" s="120"/>
      <x:c r="G82" s="120"/>
      <x:c r="H82" s="122"/>
      <x:c r="I82" s="120"/>
      <x:c r="J82" s="120"/>
      <x:c r="K82" s="120"/>
    </x:row>
    <x:row r="83" ht="26" customHeight="1">
      <x:c r="A83" s="122"/>
      <x:c r="B83" s="120"/>
      <x:c r="C83" s="120"/>
      <x:c r="D83" s="120"/>
      <x:c r="E83" s="120"/>
      <x:c r="F83" s="120"/>
      <x:c r="G83" s="120"/>
      <x:c r="H83" s="122"/>
      <x:c r="I83" s="120"/>
      <x:c r="J83" s="120"/>
      <x:c r="K83" s="120"/>
    </x:row>
    <x:row r="84" ht="26" customHeight="1">
      <x:c r="A84" s="122"/>
      <x:c r="B84" s="120"/>
      <x:c r="C84" s="120"/>
      <x:c r="D84" s="120"/>
      <x:c r="E84" s="120"/>
      <x:c r="F84" s="120"/>
      <x:c r="G84" s="120"/>
      <x:c r="H84" s="122"/>
      <x:c r="I84" s="120"/>
      <x:c r="J84" s="120"/>
      <x:c r="K84" s="120"/>
    </x:row>
    <x:row r="85" ht="26" customHeight="1">
      <x:c r="A85" s="122"/>
      <x:c r="B85" s="120"/>
      <x:c r="C85" s="120"/>
      <x:c r="D85" s="120"/>
      <x:c r="E85" s="120"/>
      <x:c r="F85" s="120"/>
      <x:c r="G85" s="120"/>
      <x:c r="H85" s="122"/>
      <x:c r="I85" s="120"/>
      <x:c r="J85" s="120"/>
      <x:c r="K85" s="120"/>
    </x:row>
    <x:row r="86" ht="26" customHeight="1">
      <x:c r="A86" s="122"/>
      <x:c r="B86" s="120"/>
      <x:c r="C86" s="120"/>
      <x:c r="D86" s="120"/>
      <x:c r="E86" s="120"/>
      <x:c r="F86" s="120"/>
      <x:c r="G86" s="120"/>
      <x:c r="H86" s="122"/>
      <x:c r="I86" s="120"/>
      <x:c r="J86" s="120"/>
      <x:c r="K86" s="120"/>
    </x:row>
    <x:row r="87" ht="26" customHeight="1">
      <x:c r="A87" s="122"/>
      <x:c r="B87" s="120"/>
      <x:c r="C87" s="120"/>
      <x:c r="D87" s="120"/>
      <x:c r="E87" s="120"/>
      <x:c r="F87" s="120"/>
      <x:c r="G87" s="120"/>
      <x:c r="H87" s="122"/>
      <x:c r="I87" s="120"/>
      <x:c r="J87" s="120"/>
      <x:c r="K87" s="120"/>
    </x:row>
    <x:row r="88" ht="26" customHeight="1">
      <x:c r="A88" s="122"/>
      <x:c r="B88" s="120"/>
      <x:c r="C88" s="120"/>
      <x:c r="D88" s="120"/>
      <x:c r="E88" s="120"/>
      <x:c r="F88" s="120"/>
      <x:c r="G88" s="120"/>
      <x:c r="H88" s="122"/>
      <x:c r="I88" s="120"/>
      <x:c r="J88" s="120"/>
      <x:c r="K88" s="120"/>
    </x:row>
    <x:row r="89" ht="26" customHeight="1">
      <x:c r="A89" s="122"/>
      <x:c r="B89" s="120"/>
      <x:c r="C89" s="120"/>
      <x:c r="D89" s="120"/>
      <x:c r="E89" s="120"/>
      <x:c r="F89" s="120"/>
      <x:c r="G89" s="120"/>
      <x:c r="H89" s="122"/>
      <x:c r="I89" s="120"/>
      <x:c r="J89" s="120"/>
      <x:c r="K89" s="120"/>
    </x:row>
    <x:row r="90" ht="26" customHeight="1">
      <x:c r="A90" s="122"/>
      <x:c r="B90" s="120"/>
      <x:c r="C90" s="120"/>
      <x:c r="D90" s="120"/>
      <x:c r="E90" s="120"/>
      <x:c r="F90" s="120"/>
      <x:c r="G90" s="120"/>
      <x:c r="H90" s="122"/>
      <x:c r="I90" s="120"/>
      <x:c r="J90" s="120"/>
      <x:c r="K90" s="120"/>
    </x:row>
    <x:row r="91" ht="26" customHeight="1">
      <x:c r="A91" s="122"/>
      <x:c r="B91" s="120"/>
      <x:c r="C91" s="120"/>
      <x:c r="D91" s="120"/>
      <x:c r="E91" s="120"/>
      <x:c r="F91" s="120"/>
      <x:c r="G91" s="120"/>
      <x:c r="H91" s="122"/>
      <x:c r="I91" s="120"/>
      <x:c r="J91" s="120"/>
      <x:c r="K91" s="120"/>
    </x:row>
    <x:row r="92" ht="26" customHeight="1">
      <x:c r="A92" s="122"/>
      <x:c r="B92" s="120"/>
      <x:c r="C92" s="120"/>
      <x:c r="D92" s="120"/>
      <x:c r="E92" s="120"/>
      <x:c r="F92" s="120"/>
      <x:c r="G92" s="120"/>
      <x:c r="H92" s="122"/>
      <x:c r="I92" s="120"/>
      <x:c r="J92" s="120"/>
      <x:c r="K92" s="120"/>
    </x:row>
    <x:row r="93" ht="26" customHeight="1">
      <x:c r="A93" s="122"/>
      <x:c r="B93" s="120"/>
      <x:c r="C93" s="120"/>
      <x:c r="D93" s="120"/>
      <x:c r="E93" s="120"/>
      <x:c r="F93" s="120"/>
      <x:c r="G93" s="120"/>
      <x:c r="H93" s="122"/>
      <x:c r="I93" s="120"/>
      <x:c r="J93" s="120"/>
      <x:c r="K93" s="120"/>
    </x:row>
    <x:row r="94" ht="26" customHeight="1">
      <x:c r="A94" s="122"/>
      <x:c r="B94" s="120"/>
      <x:c r="C94" s="120"/>
      <x:c r="D94" s="120"/>
      <x:c r="E94" s="120"/>
      <x:c r="F94" s="120"/>
      <x:c r="G94" s="120"/>
      <x:c r="H94" s="122"/>
      <x:c r="I94" s="120"/>
      <x:c r="J94" s="120"/>
      <x:c r="K94" s="120"/>
    </x:row>
    <x:row r="95" ht="26" customHeight="1">
      <x:c r="A95" s="122"/>
      <x:c r="B95" s="120"/>
      <x:c r="C95" s="120"/>
      <x:c r="D95" s="120"/>
      <x:c r="E95" s="120"/>
      <x:c r="F95" s="120"/>
      <x:c r="G95" s="120"/>
      <x:c r="H95" s="122"/>
      <x:c r="I95" s="120"/>
      <x:c r="J95" s="120"/>
      <x:c r="K95" s="120"/>
    </x:row>
    <x:row r="96" ht="26" customHeight="1">
      <x:c r="A96" s="122"/>
      <x:c r="B96" s="120"/>
      <x:c r="C96" s="120"/>
      <x:c r="D96" s="120"/>
      <x:c r="E96" s="120"/>
      <x:c r="F96" s="120"/>
      <x:c r="G96" s="120"/>
      <x:c r="H96" s="122"/>
      <x:c r="I96" s="120"/>
      <x:c r="J96" s="120"/>
      <x:c r="K96" s="120"/>
    </x:row>
    <x:row r="97" ht="26" customHeight="1">
      <x:c r="A97" s="122"/>
      <x:c r="B97" s="120"/>
      <x:c r="C97" s="120"/>
      <x:c r="D97" s="120"/>
      <x:c r="E97" s="120"/>
      <x:c r="F97" s="120"/>
      <x:c r="G97" s="120"/>
      <x:c r="H97" s="122"/>
      <x:c r="I97" s="120"/>
      <x:c r="J97" s="120"/>
      <x:c r="K97" s="120"/>
    </x:row>
    <x:row r="98" ht="26" customHeight="1">
      <x:c r="A98" s="122"/>
      <x:c r="B98" s="120"/>
      <x:c r="C98" s="120"/>
      <x:c r="D98" s="120"/>
      <x:c r="E98" s="120"/>
      <x:c r="F98" s="120"/>
      <x:c r="G98" s="120"/>
      <x:c r="H98" s="122"/>
      <x:c r="I98" s="120"/>
      <x:c r="J98" s="120"/>
      <x:c r="K98" s="120"/>
    </x:row>
    <x:row r="99" ht="26" customHeight="1">
      <x:c r="A99" s="122"/>
      <x:c r="B99" s="120"/>
      <x:c r="C99" s="120"/>
      <x:c r="D99" s="120"/>
      <x:c r="E99" s="120"/>
      <x:c r="F99" s="120"/>
      <x:c r="G99" s="120"/>
      <x:c r="H99" s="122"/>
      <x:c r="I99" s="120"/>
      <x:c r="J99" s="120"/>
      <x:c r="K99" s="120"/>
    </x:row>
    <x:row r="100" ht="26" customHeight="1">
      <x:c r="A100" s="122"/>
      <x:c r="B100" s="120"/>
      <x:c r="C100" s="120"/>
      <x:c r="D100" s="120"/>
      <x:c r="E100" s="120"/>
      <x:c r="F100" s="120"/>
      <x:c r="G100" s="120"/>
      <x:c r="H100" s="122"/>
      <x:c r="I100" s="120"/>
      <x:c r="J100" s="120"/>
      <x:c r="K100" s="120"/>
    </x:row>
    <x:row r="101" ht="26" customHeight="1">
      <x:c r="A101" s="122"/>
      <x:c r="B101" s="120"/>
      <x:c r="C101" s="120"/>
      <x:c r="D101" s="120"/>
      <x:c r="E101" s="120"/>
      <x:c r="F101" s="120"/>
      <x:c r="G101" s="120"/>
      <x:c r="H101" s="122"/>
      <x:c r="I101" s="120"/>
      <x:c r="J101" s="120"/>
      <x:c r="K101" s="120"/>
    </x:row>
    <x:row r="102" ht="26" customHeight="1">
      <x:c r="A102" s="122"/>
      <x:c r="B102" s="120"/>
      <x:c r="C102" s="120"/>
      <x:c r="D102" s="120"/>
      <x:c r="E102" s="120"/>
      <x:c r="F102" s="120"/>
      <x:c r="G102" s="120"/>
      <x:c r="H102" s="122"/>
      <x:c r="I102" s="120"/>
      <x:c r="J102" s="120"/>
      <x:c r="K102" s="120"/>
    </x:row>
    <x:row r="103" ht="26" customHeight="1">
      <x:c r="A103" s="122"/>
      <x:c r="B103" s="120"/>
      <x:c r="C103" s="120"/>
      <x:c r="D103" s="120"/>
      <x:c r="E103" s="120"/>
      <x:c r="F103" s="120"/>
      <x:c r="G103" s="120"/>
      <x:c r="H103" s="122"/>
      <x:c r="I103" s="120"/>
      <x:c r="J103" s="120"/>
      <x:c r="K103" s="120"/>
    </x:row>
    <x:row r="104" ht="26" customHeight="1">
      <x:c r="A104" s="122"/>
      <x:c r="B104" s="120"/>
      <x:c r="C104" s="120"/>
      <x:c r="D104" s="120"/>
      <x:c r="E104" s="120"/>
      <x:c r="F104" s="120"/>
      <x:c r="G104" s="120"/>
      <x:c r="H104" s="122"/>
      <x:c r="I104" s="120"/>
      <x:c r="J104" s="120"/>
      <x:c r="K104" s="120"/>
    </x:row>
    <x:row r="107" ht="35" customHeight="1">
      <x:c r="A107" s="125" t="str">
        <x:v>APPLICATIONS SUBMITTED</x:v>
      </x:c>
      <x:c r="B107" s="125"/>
      <x:c r="C107" s="125"/>
      <x:c r="D107" s="125" t="n">
        <x:f>COUNTIF(G5:G104,"Applied")+COUNTIF(G5:G104,"Reply")+COUNTIF(G5:G104,"Interview")+COUNTIF(G5:G104,"Offer")</x:f>
        <x:v>0</x:v>
      </x:c>
      <x:c r="E107" s="125"/>
      <x:c r="F107" s="125" t="str">
        <x:v>INTERVIEWS + OFFERS</x:v>
      </x:c>
      <x:c r="G107" s="125"/>
      <x:c r="H107" s="125"/>
      <x:c r="I107" s="125" t="n">
        <x:f>COUNTIF(G5:G104,"Interview")+COUNTIF(G5:G104,"Offer")</x:f>
        <x:v>0</x:v>
      </x:c>
      <x:c r="J107" s="125"/>
      <x:c r="K107" s="125"/>
    </x:row>
  </x:sheetData>
  <x:mergeCells>
    <x:mergeCell ref="A1:K2"/>
    <x:mergeCell ref="A107:C107"/>
    <x:mergeCell ref="D107:E107"/>
    <x:mergeCell ref="F107:H107"/>
    <x:mergeCell ref="I107:J107"/>
  </x:mergeCells>
  <x:dataValidations count="2">
    <x:dataValidation type="list" sqref="F5:F104">
      <x:formula1>"Manual,Agent-assisted"</x:formula1>
    </x:dataValidation>
    <x:dataValidation type="list" sqref="G5:G104">
      <x:formula1>"Shortlisted,Applied,Reply,Interview,Offer,Rejected,Skipped"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5" hidden="0" customWidth="1"/>
    <x:col min="4" max="4" width="77" hidden="0" customWidth="1"/>
    <x:col min="5" max="5" width="77" hidden="0" customWidth="1"/>
    <x:col min="6" max="6" width="61" hidden="0" customWidth="1"/>
    <x:col min="7" max="7" width="58" hidden="0" customWidth="1"/>
    <x:col min="8" max="8" width="53" hidden="0" customWidth="1"/>
    <x:col min="9" max="9" width="68" hidden="0" customWidth="1"/>
    <x:col min="10" max="10" width="29" hidden="0" customWidth="1"/>
    <x:col min="11" max="11" width="58" hidden="0" customWidth="1"/>
  </x:cols>
  <x:sheetData>
    <x:row r="1" ht="29" customHeight="1">
      <x:c r="A1" s="4" t="str">
        <x:v>ORIGINAL SYLLABUS  |  SOURCE CONTENT PRESERVED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9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6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33" customHeight="1">
      <x:c r="A4" s="79" t="str">
        <x:v>Day</x:v>
      </x:c>
      <x:c r="B4" s="79" t="str">
        <x:v>Week</x:v>
      </x:c>
      <x:c r="C4" s="79" t="str">
        <x:v>Theme</x:v>
      </x:c>
      <x:c r="D4" s="79" t="str">
        <x:v>Exact Topics to Learn</x:v>
      </x:c>
      <x:c r="E4" s="79" t="str">
        <x:v>Hands-on Coding / Build</x:v>
      </x:c>
      <x:c r="F4" s="79" t="str">
        <x:v>DSA</x:v>
      </x:c>
      <x:c r="G4" s="79" t="str">
        <x:v>SQL / CS / System Design</x:v>
      </x:c>
      <x:c r="H4" s="79" t="str">
        <x:v>Interview Drill</x:v>
      </x:c>
      <x:c r="I4" s="79" t="str">
        <x:v>Job Search / Automation</x:v>
      </x:c>
      <x:c r="J4" s="79" t="str">
        <x:v>Time Target</x:v>
      </x:c>
      <x:c r="K4" s="79" t="str">
        <x:v>Definition of Done</x:v>
      </x:c>
    </x:row>
    <x:row r="5" ht="66" customHeight="1">
      <x:c r="A5" s="134" t="n">
        <x:v>1</x:v>
      </x:c>
      <x:c r="B5" s="134" t="n">
        <x:v>1</x:v>
      </x:c>
      <x:c r="C5" s="134" t="str">
        <x:v>Python Engineering Foundations</x:v>
      </x:c>
      <x:c r="D5" s="134" t="str">
        <x:v>Python execution model; variables/references; mutable vs immutable; identity vs equality; shallow/deep copy; list/tuple/set/dict internals; comprehensions</x:v>
      </x:c>
      <x:c r="E5" s="134" t="str">
        <x:v>Write 12 small experiments proving mutability, copying, hashing and reference behavior. Refactor one existing Python module with type hints.</x:v>
      </x:c>
      <x:c r="F5" s="134" t="str">
        <x:v>Arrays &amp; strings: Big-O, traversal, frequency counting. Solve: Two Sum, Contains Duplicate, Valid Anagram.</x:v>
      </x:c>
      <x:c r="G5" s="134" t="str">
        <x:v>Big-O notation; RAM model; stack vs heap at interview level.</x:v>
      </x:c>
      <x:c r="H5" s="134" t="str">
        <x:v>Explain mutable default arguments, is vs ==, list vs tuple, dict/set complexity without notes.</x:v>
      </x:c>
      <x:c r="I5" s="134" t="str">
        <x:v>Build tracker + source 25–50 roles; submit 10–20 high-fit applications; log source, JD, resume version and result.</x:v>
      </x:c>
      <x:c r="J5" s="134" t="str">
        <x:v>2.5h weekday / 4h+ weekend</x:v>
      </x:c>
      <x:c r="K5" s="134" t="str">
        <x:v>Explain topics without notes; build works/tests pass; DSA reviewed; interview drill completed; job activity logged.</x:v>
      </x:c>
    </x:row>
    <x:row r="6" ht="66" customHeight="1">
      <x:c r="A6" s="130" t="n">
        <x:v>2</x:v>
      </x:c>
      <x:c r="B6" s="130" t="n">
        <x:v>1</x:v>
      </x:c>
      <x:c r="C6" s="130" t="str">
        <x:v>Python Engineering Foundations</x:v>
      </x:c>
      <x:c r="D6" s="130" t="str">
        <x:v>Functions + OOP + clean Python; Functions as objects; *args/**kwargs; scope/LEGB; closures; decorators; generators/yield; iterators; dataclasses; OOP; composition vs inheritance; SOLID basics</x:v>
      </x:c>
      <x:c r="E6" s="130" t="str">
        <x:v>Implement decorators for timing/retry/logging; iterator/generator; small service using dataclasses + interfaces.</x:v>
      </x:c>
      <x:c r="F6" s="130" t="str">
        <x:v>Hash maps/sets: Group Anagrams, Top K Frequent Elements, Longest Consecutive Sequence.</x:v>
      </x:c>
      <x:c r="G6" s="130" t="str">
        <x:v>Process vs thread; CPU-bound vs I/O-bound.</x:v>
      </x:c>
      <x:c r="H6" s="130" t="str">
        <x:v>Explain decorators, generators and dependency inversion with code.</x:v>
      </x:c>
      <x:c r="I6" s="130" t="str">
        <x:v>Build tracker + source 25–50 roles; submit 10–20 high-fit applications; log source, JD, resume version and result.</x:v>
      </x:c>
      <x:c r="J6" s="130" t="str">
        <x:v>2.5h weekday / 4h+ weekend</x:v>
      </x:c>
      <x:c r="K6" s="130" t="str">
        <x:v>Explain topics without notes; build works/tests pass; DSA reviewed; interview drill completed; job activity logged.</x:v>
      </x:c>
    </x:row>
    <x:row r="7" ht="66" customHeight="1">
      <x:c r="A7" s="134" t="n">
        <x:v>3</x:v>
      </x:c>
      <x:c r="B7" s="134" t="n">
        <x:v>1</x:v>
      </x:c>
      <x:c r="C7" s="134" t="str">
        <x:v>Python Engineering Foundations</x:v>
      </x:c>
      <x:c r="D7" s="134" t="str">
        <x:v>Exceptions, typing, testing; Exception hierarchy; custom exceptions; context managers; typing: Optional/Union/Protocol/Generic basics; pytest fixtures; parametrization; mocking</x:v>
      </x:c>
      <x:c r="E7" s="134" t="str">
        <x:v>Add pytest unit tests to a service; custom exception layer; context manager; reach meaningful coverage on one module.</x:v>
      </x:c>
      <x:c r="F7" s="134" t="str">
        <x:v>Two pointers: Valid Palindrome, Two Sum II, 3Sum.</x:v>
      </x:c>
      <x:c r="G7" s="134" t="str">
        <x:v>Testing pyramid; unit vs integration vs E2E; mocks and when not to mock.</x:v>
      </x:c>
      <x:c r="H7" s="134" t="str">
        <x:v>Answer: how would you test a payment/order service?</x:v>
      </x:c>
      <x:c r="I7" s="134" t="str">
        <x:v>Build tracker + source 25–50 roles; submit 10–20 high-fit applications; log source, JD, resume version and result.</x:v>
      </x:c>
      <x:c r="J7" s="134" t="str">
        <x:v>2.5h weekday / 4h+ weekend</x:v>
      </x:c>
      <x:c r="K7" s="134" t="str">
        <x:v>Explain topics without notes; build works/tests pass; DSA reviewed; interview drill completed; job activity logged.</x:v>
      </x:c>
    </x:row>
    <x:row r="8" ht="66" customHeight="1">
      <x:c r="A8" s="130" t="n">
        <x:v>4</x:v>
      </x:c>
      <x:c r="B8" s="130" t="n">
        <x:v>1</x:v>
      </x:c>
      <x:c r="C8" s="130" t="str">
        <x:v>Python Engineering Foundations</x:v>
      </x:c>
      <x:c r="D8" s="130" t="str">
        <x:v>Concurrency &amp; async Python; GIL; threading; multiprocessing; asyncio event loop; coroutine/task; await; gather; timeout; cancellation; async context managers</x:v>
      </x:c>
      <x:c r="E8" s="130" t="str">
        <x:v>Build an async API/data fetcher with concurrency limit, retries, timeout and error handling; benchmark sequential vs async.</x:v>
      </x:c>
      <x:c r="F8" s="130" t="str">
        <x:v>Sliding window: Best Time to Buy/Sell Stock, Longest Substring Without Repeating, Longest Repeating Character Replacement.</x:v>
      </x:c>
      <x:c r="G8" s="130" t="str">
        <x:v>HTTP lifecycle; TCP basics; DNS; TLS; connection pooling.</x:v>
      </x:c>
      <x:c r="H8" s="130" t="str">
        <x:v>Explain async vs threads vs processes and when you used each.</x:v>
      </x:c>
      <x:c r="I8" s="130" t="str">
        <x:v>Build tracker + source 25–50 roles; submit 10–20 high-fit applications; log source, JD, resume version and result.</x:v>
      </x:c>
      <x:c r="J8" s="130" t="str">
        <x:v>2.5h weekday / 4h+ weekend</x:v>
      </x:c>
      <x:c r="K8" s="130" t="str">
        <x:v>Explain topics without notes; build works/tests pass; DSA reviewed; interview drill completed; job activity logged.</x:v>
      </x:c>
    </x:row>
    <x:row r="9" ht="66" customHeight="1">
      <x:c r="A9" s="134" t="n">
        <x:v>5</x:v>
      </x:c>
      <x:c r="B9" s="134" t="n">
        <x:v>1</x:v>
      </x:c>
      <x:c r="C9" s="134" t="str">
        <x:v>Python Engineering Foundations</x:v>
      </x:c>
      <x:c r="D9" s="134" t="str">
        <x:v>Git + Linux developer fundamentals; Git objects/commit graph; branch/merge/rebase; reset/revert; cherry-pick; stash; resolving conflicts; Linux permissions; processes; signals; grep/find/curl/ss/lsof/systemctl</x:v>
      </x:c>
      <x:c r="E9" s="134" t="str">
        <x:v>Create feature branches, intentional merge conflict, rebase and resolve. Write a Linux troubleshooting cheat sheet.</x:v>
      </x:c>
      <x:c r="F9" s="134" t="str">
        <x:v>Stack: Valid Parentheses, Min Stack, Daily Temperatures.</x:v>
      </x:c>
      <x:c r="G9" s="134" t="str">
        <x:v>Processes, ports, environment variables, signals, file permissions.</x:v>
      </x:c>
      <x:c r="H9" s="134" t="str">
        <x:v>Walk through debugging 'server is running but API is unreachable'.</x:v>
      </x:c>
      <x:c r="I9" s="134" t="str">
        <x:v>Build tracker + source 25–50 roles; submit 10–20 high-fit applications; log source, JD, resume version and result.</x:v>
      </x:c>
      <x:c r="J9" s="134" t="str">
        <x:v>2.5h weekday / 4h+ weekend</x:v>
      </x:c>
      <x:c r="K9" s="134" t="str">
        <x:v>Explain topics without notes; build works/tests pass; DSA reviewed; interview drill completed; job activity logged.</x:v>
      </x:c>
    </x:row>
    <x:row r="10" ht="66" customHeight="1">
      <x:c r="A10" s="130" t="n">
        <x:v>6</x:v>
      </x:c>
      <x:c r="B10" s="130" t="n">
        <x:v>1</x:v>
      </x:c>
      <x:c r="C10" s="130" t="str">
        <x:v>Python Engineering Foundations</x:v>
      </x:c>
      <x:c r="D10" s="130" t="str">
        <x:v>Packaging, logging, configuration; venv; pyproject basics; dependency pinning; env configuration; structured logging; secrets; linting/formatting; pre-commit concept</x:v>
      </x:c>
      <x:c r="E10" s="130" t="str">
        <x:v>Restructure capstone backend into config/domain/API/service/repository layers; add structured logs and env-based settings.</x:v>
      </x:c>
      <x:c r="F10" s="130" t="str">
        <x:v>Binary search: Binary Search, Search in Rotated Sorted Array, Find Minimum in Rotated Sorted Array.</x:v>
      </x:c>
      <x:c r="G10" s="130" t="str">
        <x:v>12-factor app concepts; configuration vs secrets.</x:v>
      </x:c>
      <x:c r="H10" s="130" t="str">
        <x:v>Explain your backend folder architecture and why.</x:v>
      </x:c>
      <x:c r="I10" s="130" t="str">
        <x:v>Build tracker + source 25–50 roles; submit 10–20 high-fit applications; log source, JD, resume version and result.</x:v>
      </x:c>
      <x:c r="J10" s="130" t="str">
        <x:v>2.5h weekday / 4h+ weekend</x:v>
      </x:c>
      <x:c r="K10" s="130" t="str">
        <x:v>Explain topics without notes; build works/tests pass; DSA reviewed; interview drill completed; job activity logged.</x:v>
      </x:c>
    </x:row>
    <x:row r="11" ht="66" customHeight="1">
      <x:c r="A11" s="134" t="n">
        <x:v>7</x:v>
      </x:c>
      <x:c r="B11" s="134" t="n">
        <x:v>1</x:v>
      </x:c>
      <x:c r="C11" s="134" t="str">
        <x:v>Python Engineering Foundations</x:v>
      </x:c>
      <x:c r="D11" s="134" t="str">
        <x:v>Week 1 integration + mock; Review Python weak points; profiling basics; clean code; code review checklist</x:v>
      </x:c>
      <x:c r="E11" s="134" t="str">
        <x:v>Build a small production-style Python service from blank folder in 90 minutes; tests + README.</x:v>
      </x:c>
      <x:c r="F11" s="134" t="str">
        <x:v>Timed mixed set: 4 problems from Week 1; re-solve failures.</x:v>
      </x:c>
      <x:c r="G11" s="134" t="str">
        <x:v>Review Big-O, OS/networking notes.</x:v>
      </x:c>
      <x:c r="H11" s="134" t="str">
        <x:v>30-min Python mock interview; record weak answers.</x:v>
      </x:c>
      <x:c r="I11" s="134" t="str">
        <x:v>Build tracker + source 25–50 roles; submit 10–20 high-fit applications; log source, JD, resume version and result.</x:v>
      </x:c>
      <x:c r="J11" s="134" t="str">
        <x:v>2.5h weekday / 4h+ weekend</x:v>
      </x:c>
      <x:c r="K11" s="134" t="str">
        <x:v>Explain topics without notes; build works/tests pass; DSA reviewed; interview drill completed; job activity logged.</x:v>
      </x:c>
    </x:row>
    <x:row r="12" ht="66" customHeight="1">
      <x:c r="A12" s="130" t="n">
        <x:v>8</x:v>
      </x:c>
      <x:c r="B12" s="130" t="n">
        <x:v>2</x:v>
      </x:c>
      <x:c r="C12" s="130" t="str">
        <x:v>APIs + FastAPI + PostgreSQL</x:v>
      </x:c>
      <x:c r="D12" s="130" t="str">
        <x:v>HTTP + REST deeply; HTTP methods; status codes; headers; cookies; idempotency; REST resource design; pagination; filtering; versioning; OpenAPI</x:v>
      </x:c>
      <x:c r="E12" s="130" t="str">
        <x:v>Design capstone API contract and implement health/users endpoints.</x:v>
      </x:c>
      <x:c r="F12" s="130" t="str">
        <x:v>Linked lists: Reverse Linked List, Merge Two Sorted Lists, Linked List Cycle.</x:v>
      </x:c>
      <x:c r="G12" s="130" t="str">
        <x:v>HTTP caching; idempotency; statelessness.</x:v>
      </x:c>
      <x:c r="H12" s="130" t="str">
        <x:v>Design REST endpoints for orders/users/projects on whiteboard.</x:v>
      </x:c>
      <x:c r="I12" s="130" t="str">
        <x:v>Process 75–100 openings; dedupe + fit-score; submit 25–50 strongest fresh matches; 5 targeted recruiter/referral messages.</x:v>
      </x:c>
      <x:c r="J12" s="130" t="str">
        <x:v>2.5h weekday / 4h+ weekend</x:v>
      </x:c>
      <x:c r="K12" s="130" t="str">
        <x:v>Explain topics without notes; build works/tests pass; DSA reviewed; interview drill completed; job activity logged.</x:v>
      </x:c>
    </x:row>
    <x:row r="13" ht="66" customHeight="1">
      <x:c r="A13" s="134" t="n">
        <x:v>9</x:v>
      </x:c>
      <x:c r="B13" s="134" t="n">
        <x:v>2</x:v>
      </x:c>
      <x:c r="C13" s="134" t="str">
        <x:v>APIs + FastAPI + PostgreSQL</x:v>
      </x:c>
      <x:c r="D13" s="134" t="str">
        <x:v>FastAPI fundamentals; ASGI; app/router; Pydantic models; request/response validation; dependency injection; middleware; exception handlers; sync vs async endpoints</x:v>
      </x:c>
      <x:c r="E13" s="134" t="str">
        <x:v>Implement routers, schemas, service layer, global error format and request logging.</x:v>
      </x:c>
      <x:c r="F13" s="134" t="str">
        <x:v>Linked list: Reorder List, Remove Nth Node From End.</x:v>
      </x:c>
      <x:c r="G13" s="134" t="str">
        <x:v>WSGI vs ASGI; middleware pipeline.</x:v>
      </x:c>
      <x:c r="H13" s="134" t="str">
        <x:v>Explain FastAPI dependency injection and request lifecycle.</x:v>
      </x:c>
      <x:c r="I13" s="134" t="str">
        <x:v>Process 75–100 openings; dedupe + fit-score; submit 25–50 strongest fresh matches; 5 targeted recruiter/referral messages.</x:v>
      </x:c>
      <x:c r="J13" s="134" t="str">
        <x:v>2.5h weekday / 4h+ weekend</x:v>
      </x:c>
      <x:c r="K13" s="134" t="str">
        <x:v>Explain topics without notes; build works/tests pass; DSA reviewed; interview drill completed; job activity logged.</x:v>
      </x:c>
    </x:row>
    <x:row r="14" ht="66" customHeight="1">
      <x:c r="A14" s="130" t="n">
        <x:v>10</x:v>
      </x:c>
      <x:c r="B14" s="130" t="n">
        <x:v>2</x:v>
      </x:c>
      <x:c r="C14" s="130" t="str">
        <x:v>APIs + FastAPI + PostgreSQL</x:v>
      </x:c>
      <x:c r="D14" s="130" t="str">
        <x:v>PostgreSQL + SQL core; DDL/DML; PK/FK/unique/check; joins; GROUP BY/HAVING; subqueries; CTEs; NULL semantics; transactions</x:v>
      </x:c>
      <x:c r="E14" s="130" t="str">
        <x:v>Design normalized capstone schema and write 15 SQL queries by hand.</x:v>
      </x:c>
      <x:c r="F14" s="130" t="str">
        <x:v>Trees: DFS/BFS basics; Maximum Depth, Invert Binary Tree, Same Tree.</x:v>
      </x:c>
      <x:c r="G14" s="130" t="str">
        <x:v>ACID; isolation overview; normalization 1NF-3NF.</x:v>
      </x:c>
      <x:c r="H14" s="130" t="str">
        <x:v>Write JOIN + aggregation queries without ORM.</x:v>
      </x:c>
      <x:c r="I14" s="130" t="str">
        <x:v>Process 75–100 openings; dedupe + fit-score; submit 25–50 strongest fresh matches; 5 targeted recruiter/referral messages.</x:v>
      </x:c>
      <x:c r="J14" s="130" t="str">
        <x:v>2.5h weekday / 4h+ weekend</x:v>
      </x:c>
      <x:c r="K14" s="130" t="str">
        <x:v>Explain topics without notes; build works/tests pass; DSA reviewed; interview drill completed; job activity logged.</x:v>
      </x:c>
    </x:row>
    <x:row r="15" ht="66" customHeight="1">
      <x:c r="A15" s="134" t="n">
        <x:v>11</x:v>
      </x:c>
      <x:c r="B15" s="134" t="n">
        <x:v>2</x:v>
      </x:c>
      <x:c r="C15" s="134" t="str">
        <x:v>APIs + FastAPI + PostgreSQL</x:v>
      </x:c>
      <x:c r="D15" s="134" t="str">
        <x:v>ORM + migrations; SQLAlchemy/ORM concepts; session/unit of work; relationships; eager/lazy loading; N+1; Alembic migrations; seed data</x:v>
      </x:c>
      <x:c r="E15" s="134" t="str">
        <x:v>Implement repository persistence, relationships and migrations; deliberately reproduce and fix N+1.</x:v>
      </x:c>
      <x:c r="F15" s="134" t="str">
        <x:v>Trees: Diameter of Binary Tree, Balanced Binary Tree, Subtree of Another Tree.</x:v>
      </x:c>
      <x:c r="G15" s="134" t="str">
        <x:v>ORM tradeoffs; transaction boundaries.</x:v>
      </x:c>
      <x:c r="H15" s="134" t="str">
        <x:v>Explain N+1 and demonstrate your fix.</x:v>
      </x:c>
      <x:c r="I15" s="134" t="str">
        <x:v>Process 75–100 openings; dedupe + fit-score; submit 25–50 strongest fresh matches; 5 targeted recruiter/referral messages.</x:v>
      </x:c>
      <x:c r="J15" s="134" t="str">
        <x:v>2.5h weekday / 4h+ weekend</x:v>
      </x:c>
      <x:c r="K15" s="134" t="str">
        <x:v>Explain topics without notes; build works/tests pass; DSA reviewed; interview drill completed; job activity logged.</x:v>
      </x:c>
    </x:row>
    <x:row r="16" ht="66" customHeight="1">
      <x:c r="A16" s="130" t="n">
        <x:v>12</x:v>
      </x:c>
      <x:c r="B16" s="130" t="n">
        <x:v>2</x:v>
      </x:c>
      <x:c r="C16" s="130" t="str">
        <x:v>APIs + FastAPI + PostgreSQL</x:v>
      </x:c>
      <x:c r="D16" s="130" t="str">
        <x:v>Authentication; Password hashing; sessions vs JWT; access/refresh tokens; OAuth2 concepts; authentication vs authorization; token expiry/revocation</x:v>
      </x:c>
      <x:c r="E16" s="130" t="str">
        <x:v>Implement signup/login/refresh/logout and protected endpoints; tests for invalid/expired credentials.</x:v>
      </x:c>
      <x:c r="F16" s="130" t="str">
        <x:v>BST: Lowest Common Ancestor, Validate BST, Kth Smallest.</x:v>
      </x:c>
      <x:c r="G16" s="130" t="str">
        <x:v>Security: hashing vs encryption; salt; basic OWASP auth risks.</x:v>
      </x:c>
      <x:c r="H16" s="130" t="str">
        <x:v>Whiteboard secure authentication flow.</x:v>
      </x:c>
      <x:c r="I16" s="130" t="str">
        <x:v>Process 75–100 openings; dedupe + fit-score; submit 25–50 strongest fresh matches; 5 targeted recruiter/referral messages.</x:v>
      </x:c>
      <x:c r="J16" s="130" t="str">
        <x:v>2.5h weekday / 4h+ weekend</x:v>
      </x:c>
      <x:c r="K16" s="130" t="str">
        <x:v>Explain topics without notes; build works/tests pass; DSA reviewed; interview drill completed; job activity logged.</x:v>
      </x:c>
    </x:row>
    <x:row r="17" ht="66" customHeight="1">
      <x:c r="A17" s="134" t="n">
        <x:v>13</x:v>
      </x:c>
      <x:c r="B17" s="134" t="n">
        <x:v>2</x:v>
      </x:c>
      <x:c r="C17" s="134" t="str">
        <x:v>APIs + FastAPI + PostgreSQL</x:v>
      </x:c>
      <x:c r="D17" s="134" t="str">
        <x:v>Multi-tenancy + RBAC; Tenant isolation models; organization/workspace membership; roles/permissions; row ownership; authorization dependencies</x:v>
      </x:c>
      <x:c r="E17" s="134" t="str">
        <x:v>Add organizations, memberships, roles and tenant-scoped queries. Write tests proving cross-tenant access is blocked.</x:v>
      </x:c>
      <x:c r="F17" s="134" t="str">
        <x:v>Tree BFS: Level Order Traversal, Right Side View.</x:v>
      </x:c>
      <x:c r="G17" s="134" t="str">
        <x:v>RBAC vs ABAC; tenant isolation tradeoffs.</x:v>
      </x:c>
      <x:c r="H17" s="134" t="str">
        <x:v>Explain how your SaaS prevents tenant A reading tenant B data.</x:v>
      </x:c>
      <x:c r="I17" s="134" t="str">
        <x:v>Process 75–100 openings; dedupe + fit-score; submit 25–50 strongest fresh matches; 5 targeted recruiter/referral messages.</x:v>
      </x:c>
      <x:c r="J17" s="134" t="str">
        <x:v>2.5h weekday / 4h+ weekend</x:v>
      </x:c>
      <x:c r="K17" s="134" t="str">
        <x:v>Explain topics without notes; build works/tests pass; DSA reviewed; interview drill completed; job activity logged.</x:v>
      </x:c>
    </x:row>
    <x:row r="18" ht="66" customHeight="1">
      <x:c r="A18" s="130" t="n">
        <x:v>14</x:v>
      </x:c>
      <x:c r="B18" s="130" t="n">
        <x:v>2</x:v>
      </x:c>
      <x:c r="C18" s="130" t="str">
        <x:v>APIs + FastAPI + PostgreSQL</x:v>
      </x:c>
      <x:c r="D18" s="130" t="str">
        <x:v>API production review; Rate limiting concepts; pagination strategies; API errors; validation; API docs; integration tests</x:v>
      </x:c>
      <x:c r="E18" s="130" t="str">
        <x:v>Finish v1 API, Swagger docs, Postman/curl smoke tests, integration tests.</x:v>
      </x:c>
      <x:c r="F18" s="130" t="str">
        <x:v>Timed set: 4 Week-2 problems.</x:v>
      </x:c>
      <x:c r="G18" s="130" t="str">
        <x:v>Offset vs cursor pagination; API versioning.</x:v>
      </x:c>
      <x:c r="H18" s="130" t="str">
        <x:v>45-min backend/API mock interview.</x:v>
      </x:c>
      <x:c r="I18" s="130" t="str">
        <x:v>Process 75–100 openings; dedupe + fit-score; submit 25–50 strongest fresh matches; 5 targeted recruiter/referral messages.</x:v>
      </x:c>
      <x:c r="J18" s="130" t="str">
        <x:v>2.5h weekday / 4h+ weekend</x:v>
      </x:c>
      <x:c r="K18" s="130" t="str">
        <x:v>Explain topics without notes; build works/tests pass; DSA reviewed; interview drill completed; job activity logged.</x:v>
      </x:c>
    </x:row>
    <x:row r="19" ht="66" customHeight="1">
      <x:c r="A19" s="134" t="n">
        <x:v>15</x:v>
      </x:c>
      <x:c r="B19" s="134" t="n">
        <x:v>3</x:v>
      </x:c>
      <x:c r="C19" s="134" t="str">
        <x:v>Django/DRF + SaaS Architecture</x:v>
      </x:c>
      <x:c r="D19" s="134" t="str">
        <x:v>Django internals; Project/app structure; settings; models; QuerySets; managers; migrations; middleware; signals; admin; request lifecycle</x:v>
      </x:c>
      <x:c r="E19" s="134" t="str">
        <x:v>Build equivalent small module in Django; model + migration + admin + service.</x:v>
      </x:c>
      <x:c r="F19" s="134" t="str">
        <x:v>Heap/priority queue: Kth Largest, Last Stone Weight.</x:v>
      </x:c>
      <x:c r="G19" s="134" t="str">
        <x:v>MVC/MVT; framework request lifecycle.</x:v>
      </x:c>
      <x:c r="H19" s="134" t="str">
        <x:v>Compare Django vs FastAPI for your SaaS.</x:v>
      </x:c>
      <x:c r="I19" s="134" t="str">
        <x:v>Process 75–100 openings; dedupe + fit-score; submit 25–50 strongest fresh matches; 5 targeted recruiter/referral messages.</x:v>
      </x:c>
      <x:c r="J19" s="134" t="str">
        <x:v>2.5h weekday / 4h+ weekend</x:v>
      </x:c>
      <x:c r="K19" s="134" t="str">
        <x:v>Explain topics without notes; build works/tests pass; DSA reviewed; interview drill completed; job activity logged.</x:v>
      </x:c>
    </x:row>
    <x:row r="20" ht="66" customHeight="1">
      <x:c r="A20" s="130" t="n">
        <x:v>16</x:v>
      </x:c>
      <x:c r="B20" s="130" t="n">
        <x:v>3</x:v>
      </x:c>
      <x:c r="C20" s="130" t="str">
        <x:v>Django/DRF + SaaS Architecture</x:v>
      </x:c>
      <x:c r="D20" s="130" t="str">
        <x:v>Django REST Framework; Serializer/ModelSerializer; APIView/ViewSet; routers; permissions; authentication; pagination; filtering; throttling</x:v>
      </x:c>
      <x:c r="E20" s="130" t="str">
        <x:v>Implement DRF CRUD + permissions for one capstone domain.</x:v>
      </x:c>
      <x:c r="F20" s="130" t="str">
        <x:v>Heap: K Closest Points, Task Scheduler.</x:v>
      </x:c>
      <x:c r="G20" s="130" t="str">
        <x:v>API abstraction tradeoffs.</x:v>
      </x:c>
      <x:c r="H20" s="130" t="str">
        <x:v>Explain serializer validation and permission flow.</x:v>
      </x:c>
      <x:c r="I20" s="130" t="str">
        <x:v>Process 75–100 openings; dedupe + fit-score; submit 25–50 strongest fresh matches; 5 targeted recruiter/referral messages.</x:v>
      </x:c>
      <x:c r="J20" s="130" t="str">
        <x:v>2.5h weekday / 4h+ weekend</x:v>
      </x:c>
      <x:c r="K20" s="130" t="str">
        <x:v>Explain topics without notes; build works/tests pass; DSA reviewed; interview drill completed; job activity logged.</x:v>
      </x:c>
    </x:row>
    <x:row r="21" ht="66" customHeight="1">
      <x:c r="A21" s="134" t="n">
        <x:v>17</x:v>
      </x:c>
      <x:c r="B21" s="134" t="n">
        <x:v>3</x:v>
      </x:c>
      <x:c r="C21" s="134" t="str">
        <x:v>Django/DRF + SaaS Architecture</x:v>
      </x:c>
      <x:c r="D21" s="134" t="str">
        <x:v>Advanced PostgreSQL; B-tree indexes; composite indexes; selectivity; EXPLAIN/EXPLAIN ANALYZE; query plans; locks; deadlocks; connection pooling</x:v>
      </x:c>
      <x:c r="E21" s="134" t="str">
        <x:v>Create slow queries, inspect plans, add indexes and record before/after timings.</x:v>
      </x:c>
      <x:c r="F21" s="134" t="str">
        <x:v>Backtracking: Subsets, Combination Sum, Permutations.</x:v>
      </x:c>
      <x:c r="G21" s="134" t="str">
        <x:v>Index design; optimistic vs pessimistic locking.</x:v>
      </x:c>
      <x:c r="H21" s="134" t="str">
        <x:v>Given a slow query, explain your debugging process.</x:v>
      </x:c>
      <x:c r="I21" s="134" t="str">
        <x:v>Process 75–100 openings; dedupe + fit-score; submit 25–50 strongest fresh matches; 5 targeted recruiter/referral messages.</x:v>
      </x:c>
      <x:c r="J21" s="134" t="str">
        <x:v>2.5h weekday / 4h+ weekend</x:v>
      </x:c>
      <x:c r="K21" s="134" t="str">
        <x:v>Explain topics without notes; build works/tests pass; DSA reviewed; interview drill completed; job activity logged.</x:v>
      </x:c>
    </x:row>
    <x:row r="22" ht="66" customHeight="1">
      <x:c r="A22" s="130" t="n">
        <x:v>18</x:v>
      </x:c>
      <x:c r="B22" s="130" t="n">
        <x:v>3</x:v>
      </x:c>
      <x:c r="C22" s="130" t="str">
        <x:v>Django/DRF + SaaS Architecture</x:v>
      </x:c>
      <x:c r="D22" s="130" t="str">
        <x:v>Transactions + consistency; Isolation levels; lost update; dirty/non-repeatable/phantom reads; optimistic locking; atomic operations; idempotency keys</x:v>
      </x:c>
      <x:c r="E22" s="130" t="str">
        <x:v>Implement idempotent create/payment-like endpoint and concurrency-safe update.</x:v>
      </x:c>
      <x:c r="F22" s="130" t="str">
        <x:v>Backtracking: Word Search, Palindrome Partitioning.</x:v>
      </x:c>
      <x:c r="G22" s="130" t="str">
        <x:v>CAP at practical level; consistency decisions.</x:v>
      </x:c>
      <x:c r="H22" s="130" t="str">
        <x:v>Explain preventing duplicate orders/payments.</x:v>
      </x:c>
      <x:c r="I22" s="130" t="str">
        <x:v>Process 75–100 openings; dedupe + fit-score; submit 25–50 strongest fresh matches; 5 targeted recruiter/referral messages.</x:v>
      </x:c>
      <x:c r="J22" s="130" t="str">
        <x:v>2.5h weekday / 4h+ weekend</x:v>
      </x:c>
      <x:c r="K22" s="130" t="str">
        <x:v>Explain topics without notes; build works/tests pass; DSA reviewed; interview drill completed; job activity logged.</x:v>
      </x:c>
    </x:row>
    <x:row r="23" ht="66" customHeight="1">
      <x:c r="A23" s="134" t="n">
        <x:v>19</x:v>
      </x:c>
      <x:c r="B23" s="134" t="n">
        <x:v>3</x:v>
      </x:c>
      <x:c r="C23" s="134" t="str">
        <x:v>Django/DRF + SaaS Architecture</x:v>
      </x:c>
      <x:c r="D23" s="134" t="str">
        <x:v>File/object storage + webhooks; Multipart uploads; presigned URL concept; object storage; webhook signatures; retries; idempotent webhook consumers</x:v>
      </x:c>
      <x:c r="E23" s="134" t="str">
        <x:v>Add file upload abstraction and signed webhook receiver with event table.</x:v>
      </x:c>
      <x:c r="F23" s="134" t="str">
        <x:v>Graphs: Number of Islands, Clone Graph.</x:v>
      </x:c>
      <x:c r="G23" s="134" t="str">
        <x:v>At-least-once delivery; webhook reliability.</x:v>
      </x:c>
      <x:c r="H23" s="134" t="str">
        <x:v>Design reliable payment webhook handling.</x:v>
      </x:c>
      <x:c r="I23" s="134" t="str">
        <x:v>Process 75–100 openings; dedupe + fit-score; submit 25–50 strongest fresh matches; 5 targeted recruiter/referral messages.</x:v>
      </x:c>
      <x:c r="J23" s="134" t="str">
        <x:v>2.5h weekday / 4h+ weekend</x:v>
      </x:c>
      <x:c r="K23" s="134" t="str">
        <x:v>Explain topics without notes; build works/tests pass; DSA reviewed; interview drill completed; job activity logged.</x:v>
      </x:c>
    </x:row>
    <x:row r="24" ht="66" customHeight="1">
      <x:c r="A24" s="130" t="n">
        <x:v>20</x:v>
      </x:c>
      <x:c r="B24" s="130" t="n">
        <x:v>3</x:v>
      </x:c>
      <x:c r="C24" s="130" t="str">
        <x:v>Django/DRF + SaaS Architecture</x:v>
      </x:c>
      <x:c r="D24" s="130" t="str">
        <x:v>SaaS domain design; Plans/subscriptions concepts; feature flags; quotas; audit logs; soft delete; created/updated/by metadata</x:v>
      </x:c>
      <x:c r="E24" s="130" t="str">
        <x:v>Add plans/entitlements or quotas + audit log to capstone.</x:v>
      </x:c>
      <x:c r="F24" s="130" t="str">
        <x:v>Graphs: Course Schedule, Pacific Atlantic Water Flow.</x:v>
      </x:c>
      <x:c r="G24" s="130" t="str">
        <x:v>Domain boundaries; auditability.</x:v>
      </x:c>
      <x:c r="H24" s="130" t="str">
        <x:v>Explain schema decisions and tradeoffs.</x:v>
      </x:c>
      <x:c r="I24" s="130" t="str">
        <x:v>Process 75–100 openings; dedupe + fit-score; submit 25–50 strongest fresh matches; 5 targeted recruiter/referral messages.</x:v>
      </x:c>
      <x:c r="J24" s="130" t="str">
        <x:v>2.5h weekday / 4h+ weekend</x:v>
      </x:c>
      <x:c r="K24" s="130" t="str">
        <x:v>Explain topics without notes; build works/tests pass; DSA reviewed; interview drill completed; job activity logged.</x:v>
      </x:c>
    </x:row>
    <x:row r="25" ht="66" customHeight="1">
      <x:c r="A25" s="134" t="n">
        <x:v>21</x:v>
      </x:c>
      <x:c r="B25" s="134" t="n">
        <x:v>3</x:v>
      </x:c>
      <x:c r="C25" s="134" t="str">
        <x:v>Django/DRF + SaaS Architecture</x:v>
      </x:c>
      <x:c r="D25" s="134" t="str">
        <x:v>Week 3 architecture review; Review Django/FastAPI/Postgres; architecture diagrams; ADR concept</x:v>
      </x:c>
      <x:c r="E25" s="134" t="str">
        <x:v>Create C4-ish context/container diagram + DB ERD + 2 architecture decision records.</x:v>
      </x:c>
      <x:c r="F25" s="134" t="str">
        <x:v>Timed mixed set: 4 Week-3 problems.</x:v>
      </x:c>
      <x:c r="G25" s="134" t="str">
        <x:v>System-design requirements gathering.</x:v>
      </x:c>
      <x:c r="H25" s="134" t="str">
        <x:v>Present capstone architecture in 10 minutes.</x:v>
      </x:c>
      <x:c r="I25" s="134" t="str">
        <x:v>Process 75–100 openings; dedupe + fit-score; submit 25–50 strongest fresh matches; 5 targeted recruiter/referral messages.</x:v>
      </x:c>
      <x:c r="J25" s="134" t="str">
        <x:v>2.5h weekday / 4h+ weekend</x:v>
      </x:c>
      <x:c r="K25" s="134" t="str">
        <x:v>Explain topics without notes; build works/tests pass; DSA reviewed; interview drill completed; job activity logged.</x:v>
      </x:c>
    </x:row>
    <x:row r="26" ht="66" customHeight="1">
      <x:c r="A26" s="130" t="n">
        <x:v>22</x:v>
      </x:c>
      <x:c r="B26" s="130" t="n">
        <x:v>4</x:v>
      </x:c>
      <x:c r="C26" s="130" t="str">
        <x:v>Redis + Workers + Docker + Reliability</x:v>
      </x:c>
      <x:c r="D26" s="130" t="str">
        <x:v>Redis fundamentals; In-memory data structures; TTL; cache-aside; invalidation; eviction; cache stampede; distributed lock concept</x:v>
      </x:c>
      <x:c r="E26" s="130" t="str">
        <x:v>Cache one expensive endpoint; measure hit/miss latency; implement invalidation.</x:v>
      </x:c>
      <x:c r="F26" s="130" t="str">
        <x:v>Graphs BFS/DFS: Rotting Oranges, Graph Valid Tree.</x:v>
      </x:c>
      <x:c r="G26" s="130" t="str">
        <x:v>Caching tradeoffs and consistency.</x:v>
      </x:c>
      <x:c r="H26" s="130" t="str">
        <x:v>Explain what you cache, key design, TTL and invalidation.</x:v>
      </x:c>
      <x:c r="I26" s="130" t="str">
        <x:v>Process 100 relevant openings/day via automation; dedupe + score + prepare fields; human-review strongest matches before submission; follow up and measure conversion.</x:v>
      </x:c>
      <x:c r="J26" s="130" t="str">
        <x:v>2.5h weekday / 4h+ weekend</x:v>
      </x:c>
      <x:c r="K26" s="130" t="str">
        <x:v>Explain topics without notes; build works/tests pass; DSA reviewed; interview drill completed; job activity logged.</x:v>
      </x:c>
    </x:row>
    <x:row r="27" ht="66" customHeight="1">
      <x:c r="A27" s="134" t="n">
        <x:v>23</x:v>
      </x:c>
      <x:c r="B27" s="134" t="n">
        <x:v>4</x:v>
      </x:c>
      <x:c r="C27" s="134" t="str">
        <x:v>Redis + Workers + Docker + Reliability</x:v>
      </x:c>
      <x:c r="D27" s="134" t="str">
        <x:v>Background jobs / Celery; Broker vs backend; task lifecycle; retries/backoff; idempotent jobs; scheduling; poison messages; dead-letter concept</x:v>
      </x:c>
      <x:c r="E27" s="134" t="str">
        <x:v>Move email/report processing to Celery/worker; retry with exponential backoff.</x:v>
      </x:c>
      <x:c r="F27" s="134" t="str">
        <x:v>Advanced graphs: Network Delay Time, Cheapest Flights Within K Stops.</x:v>
      </x:c>
      <x:c r="G27" s="134" t="str">
        <x:v>Queues, delivery semantics, backpressure.</x:v>
      </x:c>
      <x:c r="H27" s="134" t="str">
        <x:v>Design reliable background email/report processing.</x:v>
      </x:c>
      <x:c r="I27" s="134" t="str">
        <x:v>Process 100 relevant openings/day via automation; dedupe + score + prepare fields; human-review strongest matches before submission; follow up and measure conversion.</x:v>
      </x:c>
      <x:c r="J27" s="134" t="str">
        <x:v>2.5h weekday / 4h+ weekend</x:v>
      </x:c>
      <x:c r="K27" s="134" t="str">
        <x:v>Explain topics without notes; build works/tests pass; DSA reviewed; interview drill completed; job activity logged.</x:v>
      </x:c>
    </x:row>
    <x:row r="28" ht="66" customHeight="1">
      <x:c r="A28" s="130" t="n">
        <x:v>24</x:v>
      </x:c>
      <x:c r="B28" s="130" t="n">
        <x:v>4</x:v>
      </x:c>
      <x:c r="C28" s="130" t="str">
        <x:v>Redis + Workers + Docker + Reliability</x:v>
      </x:c>
      <x:c r="D28" s="130" t="str">
        <x:v>Docker fundamentals; Images/layers; Dockerfile; build context; COPY; RUN; CMD/ENTRYPOINT; env; volumes; networks; multi-stage builds</x:v>
      </x:c>
      <x:c r="E28" s="130" t="str">
        <x:v>Dockerize API; create production-minded Dockerfile; inspect image size.</x:v>
      </x:c>
      <x:c r="F28" s="130" t="str">
        <x:v>1-D DP: Climbing Stairs, House Robber, Coin Change.</x:v>
      </x:c>
      <x:c r="G28" s="130" t="str">
        <x:v>Containers vs VMs; process model.</x:v>
      </x:c>
      <x:c r="H28" s="130" t="str">
        <x:v>Explain every line of your Dockerfile.</x:v>
      </x:c>
      <x:c r="I28" s="130" t="str">
        <x:v>Process 100 relevant openings/day via automation; dedupe + score + prepare fields; human-review strongest matches before submission; follow up and measure conversion.</x:v>
      </x:c>
      <x:c r="J28" s="130" t="str">
        <x:v>2.5h weekday / 4h+ weekend</x:v>
      </x:c>
      <x:c r="K28" s="130" t="str">
        <x:v>Explain topics without notes; build works/tests pass; DSA reviewed; interview drill completed; job activity logged.</x:v>
      </x:c>
    </x:row>
    <x:row r="29" ht="66" customHeight="1">
      <x:c r="A29" s="134" t="n">
        <x:v>25</x:v>
      </x:c>
      <x:c r="B29" s="134" t="n">
        <x:v>4</x:v>
      </x:c>
      <x:c r="C29" s="134" t="str">
        <x:v>Redis + Workers + Docker + Reliability</x:v>
      </x:c>
      <x:c r="D29" s="134" t="str">
        <x:v>Docker Compose + local stack; Compose services; health checks; dependency readiness; volumes; networks; PostgreSQL/Redis/worker topology</x:v>
      </x:c>
      <x:c r="E29" s="134" t="str">
        <x:v>Run API + Postgres + Redis + worker using compose; one-command local startup.</x:v>
      </x:c>
      <x:c r="F29" s="134" t="str">
        <x:v>1-D DP: Longest Increasing Subsequence, Partition Equal Subset Sum.</x:v>
      </x:c>
      <x:c r="G29" s="134" t="str">
        <x:v>Service discovery and health/readiness.</x:v>
      </x:c>
      <x:c r="H29" s="134" t="str">
        <x:v>Debug a deliberately broken container stack.</x:v>
      </x:c>
      <x:c r="I29" s="134" t="str">
        <x:v>Process 100 relevant openings/day via automation; dedupe + score + prepare fields; human-review strongest matches before submission; follow up and measure conversion.</x:v>
      </x:c>
      <x:c r="J29" s="134" t="str">
        <x:v>2.5h weekday / 4h+ weekend</x:v>
      </x:c>
      <x:c r="K29" s="134" t="str">
        <x:v>Explain topics without notes; build works/tests pass; DSA reviewed; interview drill completed; job activity logged.</x:v>
      </x:c>
    </x:row>
    <x:row r="30" ht="66" customHeight="1">
      <x:c r="A30" s="130" t="n">
        <x:v>26</x:v>
      </x:c>
      <x:c r="B30" s="130" t="n">
        <x:v>4</x:v>
      </x:c>
      <x:c r="C30" s="130" t="str">
        <x:v>Redis + Workers + Docker + Reliability</x:v>
      </x:c>
      <x:c r="D30" s="130" t="str">
        <x:v>Reliability patterns; Timeout; retry; exponential backoff+jitter; circuit breaker; bulkhead concept; graceful degradation; idempotency</x:v>
      </x:c>
      <x:c r="E30" s="130" t="str">
        <x:v>Wrap external API integration with timeout/retry/circuit-breaker-like protection and failure tests.</x:v>
      </x:c>
      <x:c r="F30" s="130" t="str">
        <x:v>Intervals: Insert Interval, Merge Intervals, Non-overlapping Intervals.</x:v>
      </x:c>
      <x:c r="G30" s="130" t="str">
        <x:v>Failure modes; retry storms.</x:v>
      </x:c>
      <x:c r="H30" s="130" t="str">
        <x:v>Answer: when should you NOT retry?</x:v>
      </x:c>
      <x:c r="I30" s="130" t="str">
        <x:v>Process 100 relevant openings/day via automation; dedupe + score + prepare fields; human-review strongest matches before submission; follow up and measure conversion.</x:v>
      </x:c>
      <x:c r="J30" s="130" t="str">
        <x:v>2.5h weekday / 4h+ weekend</x:v>
      </x:c>
      <x:c r="K30" s="130" t="str">
        <x:v>Explain topics without notes; build works/tests pass; DSA reviewed; interview drill completed; job activity logged.</x:v>
      </x:c>
    </x:row>
    <x:row r="31" ht="66" customHeight="1">
      <x:c r="A31" s="134" t="n">
        <x:v>27</x:v>
      </x:c>
      <x:c r="B31" s="134" t="n">
        <x:v>4</x:v>
      </x:c>
      <x:c r="C31" s="134" t="str">
        <x:v>Redis + Workers + Docker + Reliability</x:v>
      </x:c>
      <x:c r="D31" s="134" t="str">
        <x:v>Testing production services; Integration tests; test DB; fixtures/factories; contract tests concept; load testing basics; pytest async</x:v>
      </x:c>
      <x:c r="E31" s="134" t="str">
        <x:v>Create integration test suite for auth/tenant/cache/jobs; simple load test and capture baseline.</x:v>
      </x:c>
      <x:c r="F31" s="134" t="str">
        <x:v>Greedy: Maximum Subarray, Jump Game.</x:v>
      </x:c>
      <x:c r="G31" s="134" t="str">
        <x:v>Latency percentiles p50/p95/p99; throughput.</x:v>
      </x:c>
      <x:c r="H31" s="134" t="str">
        <x:v>Explain your testing strategy and production confidence.</x:v>
      </x:c>
      <x:c r="I31" s="134" t="str">
        <x:v>Process 100 relevant openings/day via automation; dedupe + score + prepare fields; human-review strongest matches before submission; follow up and measure conversion.</x:v>
      </x:c>
      <x:c r="J31" s="134" t="str">
        <x:v>2.5h weekday / 4h+ weekend</x:v>
      </x:c>
      <x:c r="K31" s="134" t="str">
        <x:v>Explain topics without notes; build works/tests pass; DSA reviewed; interview drill completed; job activity logged.</x:v>
      </x:c>
    </x:row>
    <x:row r="32" ht="66" customHeight="1">
      <x:c r="A32" s="130" t="n">
        <x:v>28</x:v>
      </x:c>
      <x:c r="B32" s="130" t="n">
        <x:v>4</x:v>
      </x:c>
      <x:c r="C32" s="130" t="str">
        <x:v>Redis + Workers + Docker + Reliability</x:v>
      </x:c>
      <x:c r="D32" s="130" t="str">
        <x:v>Week 4 incident drill; Debug methodology; logs/metrics/traces distinction; postmortem structure</x:v>
      </x:c>
      <x:c r="E32" s="130" t="str">
        <x:v>Create Incident #1: introduce DB/cache/worker failure, diagnose, fix, write 1-page postmortem.</x:v>
      </x:c>
      <x:c r="F32" s="130" t="str">
        <x:v>Timed mixed set: 4 problems.</x:v>
      </x:c>
      <x:c r="G32" s="130" t="str">
        <x:v>Incident response and root-cause analysis.</x:v>
      </x:c>
      <x:c r="H32" s="130" t="str">
        <x:v>45-min production-debugging mock.</x:v>
      </x:c>
      <x:c r="I32" s="130" t="str">
        <x:v>Process 100 relevant openings/day via automation; dedupe + score + prepare fields; human-review strongest matches before submission; follow up and measure conversion.</x:v>
      </x:c>
      <x:c r="J32" s="130" t="str">
        <x:v>2.5h weekday / 4h+ weekend</x:v>
      </x:c>
      <x:c r="K32" s="130" t="str">
        <x:v>Explain topics without notes; build works/tests pass; DSA reviewed; interview drill completed; job activity logged.</x:v>
      </x:c>
    </x:row>
    <x:row r="33" ht="66" customHeight="1">
      <x:c r="A33" s="134" t="n">
        <x:v>29</x:v>
      </x:c>
      <x:c r="B33" s="134" t="n">
        <x:v>5</x:v>
      </x:c>
      <x:c r="C33" s="134" t="str">
        <x:v>Cloud + CI/CD + Production Deployment</x:v>
      </x:c>
      <x:c r="D33" s="134" t="str">
        <x:v>AWS fundamentals; Regions/AZs; EC2; VPC high-level; security groups; IAM users/roles/policies; least privilege; S3; RDS overview</x:v>
      </x:c>
      <x:c r="E33" s="134" t="str">
        <x:v>Create deployment architecture plan; IAM/security checklist; map capstone components to AWS.</x:v>
      </x:c>
      <x:c r="F33" s="134" t="str">
        <x:v>Matrix: Set Matrix Zeroes, Spiral Matrix, Rotate Image.</x:v>
      </x:c>
      <x:c r="G33" s="134" t="str">
        <x:v>Horizontal vs vertical scaling; stateless services.</x:v>
      </x:c>
      <x:c r="H33" s="134" t="str">
        <x:v>Design a basic AWS deployment verbally.</x:v>
      </x:c>
      <x:c r="I33" s="134" t="str">
        <x:v>Process 100 relevant openings/day via automation; dedupe + score + prepare fields; human-review strongest matches before submission; follow up and measure conversion.</x:v>
      </x:c>
      <x:c r="J33" s="134" t="str">
        <x:v>2.5h weekday / 4h+ weekend</x:v>
      </x:c>
      <x:c r="K33" s="134" t="str">
        <x:v>Explain topics without notes; build works/tests pass; DSA reviewed; interview drill completed; job activity logged.</x:v>
      </x:c>
    </x:row>
    <x:row r="34" ht="66" customHeight="1">
      <x:c r="A34" s="130" t="n">
        <x:v>30</x:v>
      </x:c>
      <x:c r="B34" s="130" t="n">
        <x:v>5</x:v>
      </x:c>
      <x:c r="C34" s="130" t="str">
        <x:v>Cloud + CI/CD + Production Deployment</x:v>
      </x:c>
      <x:c r="D34" s="130" t="str">
        <x:v>Linux server + Nginx; SSH keys; users; permissions; systemd; logs; reverse proxy; TLS termination concept; proxy headers; firewall basics</x:v>
      </x:c>
      <x:c r="E34" s="130" t="str">
        <x:v>Deploy API on Linux VM; Nginx reverse proxy; service restart/log procedure.</x:v>
      </x:c>
      <x:c r="F34" s="130" t="str">
        <x:v>Bit manipulation: Single Number, Counting Bits, Missing Number.</x:v>
      </x:c>
      <x:c r="G34" s="130" t="str">
        <x:v>Reverse proxy vs app server; ports/TLS.</x:v>
      </x:c>
      <x:c r="H34" s="130" t="str">
        <x:v>Troubleshoot 502 Bad Gateway scenario.</x:v>
      </x:c>
      <x:c r="I34" s="130" t="str">
        <x:v>Process 100 relevant openings/day via automation; dedupe + score + prepare fields; human-review strongest matches before submission; follow up and measure conversion.</x:v>
      </x:c>
      <x:c r="J34" s="130" t="str">
        <x:v>2.5h weekday / 4h+ weekend</x:v>
      </x:c>
      <x:c r="K34" s="130" t="str">
        <x:v>Explain topics without notes; build works/tests pass; DSA reviewed; interview drill completed; job activity logged.</x:v>
      </x:c>
    </x:row>
    <x:row r="35" ht="66" customHeight="1">
      <x:c r="A35" s="134" t="n">
        <x:v>31</x:v>
      </x:c>
      <x:c r="B35" s="134" t="n">
        <x:v>5</x:v>
      </x:c>
      <x:c r="C35" s="134" t="str">
        <x:v>Cloud + CI/CD + Production Deployment</x:v>
      </x:c>
      <x:c r="D35" s="134" t="str">
        <x:v>CI/CD; Pipeline stages; lint/test/build/deploy; artifacts; environments; secrets; rollback; migrations in deployment</x:v>
      </x:c>
      <x:c r="E35" s="134" t="str">
        <x:v>GitHub Actions pipeline: lint + tests + image/build + deployment step or safe simulated deploy.</x:v>
      </x:c>
      <x:c r="F35" s="134" t="str">
        <x:v>Mixed medium set: 3 problems.</x:v>
      </x:c>
      <x:c r="G35" s="134" t="str">
        <x:v>Blue/green vs rolling vs canary concepts.</x:v>
      </x:c>
      <x:c r="H35" s="134" t="str">
        <x:v>Explain safe DB migrations during deployment.</x:v>
      </x:c>
      <x:c r="I35" s="134" t="str">
        <x:v>Process 100 relevant openings/day via automation; dedupe + score + prepare fields; human-review strongest matches before submission; follow up and measure conversion.</x:v>
      </x:c>
      <x:c r="J35" s="134" t="str">
        <x:v>2.5h weekday / 4h+ weekend</x:v>
      </x:c>
      <x:c r="K35" s="134" t="str">
        <x:v>Explain topics without notes; build works/tests pass; DSA reviewed; interview drill completed; job activity logged.</x:v>
      </x:c>
    </x:row>
    <x:row r="36" ht="66" customHeight="1">
      <x:c r="A36" s="130" t="n">
        <x:v>32</x:v>
      </x:c>
      <x:c r="B36" s="130" t="n">
        <x:v>5</x:v>
      </x:c>
      <x:c r="C36" s="130" t="str">
        <x:v>Cloud + CI/CD + Production Deployment</x:v>
      </x:c>
      <x:c r="D36" s="130" t="str">
        <x:v>Observability; Structured logs; correlation/request IDs; metrics; counters/gauges/histograms; traces; alerting; SLI/SLO basics</x:v>
      </x:c>
      <x:c r="E36" s="130" t="str">
        <x:v>Add request IDs, latency/error metrics or equivalent instrumentation; create operational dashboard plan.</x:v>
      </x:c>
      <x:c r="F36" s="130" t="str">
        <x:v>Re-solve 3 previously failed DSA problems.</x:v>
      </x:c>
      <x:c r="G36" s="130" t="str">
        <x:v>p95 latency; error rate; saturation; SLO/error budget basics.</x:v>
      </x:c>
      <x:c r="H36" s="130" t="str">
        <x:v>What would you monitor on your API?</x:v>
      </x:c>
      <x:c r="I36" s="130" t="str">
        <x:v>Process 100 relevant openings/day via automation; dedupe + score + prepare fields; human-review strongest matches before submission; follow up and measure conversion.</x:v>
      </x:c>
      <x:c r="J36" s="130" t="str">
        <x:v>2.5h weekday / 4h+ weekend</x:v>
      </x:c>
      <x:c r="K36" s="130" t="str">
        <x:v>Explain topics without notes; build works/tests pass; DSA reviewed; interview drill completed; job activity logged.</x:v>
      </x:c>
    </x:row>
    <x:row r="37" ht="66" customHeight="1">
      <x:c r="A37" s="134" t="n">
        <x:v>33</x:v>
      </x:c>
      <x:c r="B37" s="134" t="n">
        <x:v>5</x:v>
      </x:c>
      <x:c r="C37" s="134" t="str">
        <x:v>Cloud + CI/CD + Production Deployment</x:v>
      </x:c>
      <x:c r="D37" s="134" t="str">
        <x:v>Security hardening; OWASP API risks; CORS; CSRF; SQL injection; XSS context; SSRF concept; secrets; dependency scanning; rate limiting</x:v>
      </x:c>
      <x:c r="E37" s="134" t="str">
        <x:v>Threat-model capstone; fix top risks; security checklist.</x:v>
      </x:c>
      <x:c r="F37" s="134" t="str">
        <x:v>Timed 2 mediums.</x:v>
      </x:c>
      <x:c r="G37" s="134" t="str">
        <x:v>TLS, CORS vs CSRF; principle of least privilege.</x:v>
      </x:c>
      <x:c r="H37" s="134" t="str">
        <x:v>Security review mock: attacker scenarios.</x:v>
      </x:c>
      <x:c r="I37" s="134" t="str">
        <x:v>Process 100 relevant openings/day via automation; dedupe + score + prepare fields; human-review strongest matches before submission; follow up and measure conversion.</x:v>
      </x:c>
      <x:c r="J37" s="134" t="str">
        <x:v>2.5h weekday / 4h+ weekend</x:v>
      </x:c>
      <x:c r="K37" s="134" t="str">
        <x:v>Explain topics without notes; build works/tests pass; DSA reviewed; interview drill completed; job activity logged.</x:v>
      </x:c>
    </x:row>
    <x:row r="38" ht="66" customHeight="1">
      <x:c r="A38" s="130" t="n">
        <x:v>34</x:v>
      </x:c>
      <x:c r="B38" s="130" t="n">
        <x:v>5</x:v>
      </x:c>
      <x:c r="C38" s="130" t="str">
        <x:v>Cloud + CI/CD + Production Deployment</x:v>
      </x:c>
      <x:c r="D38" s="130" t="str">
        <x:v>Performance + load; Profiling; DB bottlenecks; caching; connection pools; async I/O; load test design; capacity thinking</x:v>
      </x:c>
      <x:c r="E38" s="130" t="str">
        <x:v>Run load test; identify bottleneck; optimize one measurable issue; record before/after.</x:v>
      </x:c>
      <x:c r="F38" s="130" t="str">
        <x:v>Timed 3 mixed problems.</x:v>
      </x:c>
      <x:c r="G38" s="130" t="str">
        <x:v>Little's Law intuition; throughput vs latency.</x:v>
      </x:c>
      <x:c r="H38" s="130" t="str">
        <x:v>Explain a real performance optimization with numbers.</x:v>
      </x:c>
      <x:c r="I38" s="130" t="str">
        <x:v>Process 100 relevant openings/day via automation; dedupe + score + prepare fields; human-review strongest matches before submission; follow up and measure conversion.</x:v>
      </x:c>
      <x:c r="J38" s="130" t="str">
        <x:v>2.5h weekday / 4h+ weekend</x:v>
      </x:c>
      <x:c r="K38" s="130" t="str">
        <x:v>Explain topics without notes; build works/tests pass; DSA reviewed; interview drill completed; job activity logged.</x:v>
      </x:c>
    </x:row>
    <x:row r="39" ht="66" customHeight="1">
      <x:c r="A39" s="134" t="n">
        <x:v>35</x:v>
      </x:c>
      <x:c r="B39" s="134" t="n">
        <x:v>5</x:v>
      </x:c>
      <x:c r="C39" s="134" t="str">
        <x:v>Cloud + CI/CD + Production Deployment</x:v>
      </x:c>
      <x:c r="D39" s="134" t="str">
        <x:v>Production release; Backup/restore; migrations; rollback; runbooks; health/readiness; release checklist</x:v>
      </x:c>
      <x:c r="E39" s="134" t="str">
        <x:v>Deploy production version; write runbook + backup/restore procedure + release checklist.</x:v>
      </x:c>
      <x:c r="F39" s="134" t="str">
        <x:v>Week-5 mixed contest: 4 problems.</x:v>
      </x:c>
      <x:c r="G39" s="134" t="str">
        <x:v>Disaster recovery RPO/RTO concepts.</x:v>
      </x:c>
      <x:c r="H39" s="134" t="str">
        <x:v>Give a 10-minute production-readiness review.</x:v>
      </x:c>
      <x:c r="I39" s="134" t="str">
        <x:v>Process 100 relevant openings/day via automation; dedupe + score + prepare fields; human-review strongest matches before submission; follow up and measure conversion.</x:v>
      </x:c>
      <x:c r="J39" s="134" t="str">
        <x:v>2.5h weekday / 4h+ weekend</x:v>
      </x:c>
      <x:c r="K39" s="134" t="str">
        <x:v>Explain topics without notes; build works/tests pass; DSA reviewed; interview drill completed; job activity logged.</x:v>
      </x:c>
    </x:row>
    <x:row r="40" ht="66" customHeight="1">
      <x:c r="A40" s="130" t="n">
        <x:v>36</x:v>
      </x:c>
      <x:c r="B40" s="130" t="n">
        <x:v>6</x:v>
      </x:c>
      <x:c r="C40" s="130" t="str">
        <x:v>System Design + Backend Interview Depth</x:v>
      </x:c>
      <x:c r="D40" s="130" t="str">
        <x:v>System design framework; Functional/non-functional requirements; estimates; APIs; data model; high-level design; bottlenecks; tradeoffs</x:v>
      </x:c>
      <x:c r="E40" s="130" t="str">
        <x:v>Design URL shortener using structured template; draw architecture.</x:v>
      </x:c>
      <x:c r="F40" s="130" t="str">
        <x:v>Review arrays/hash maps/sliding window: 4 selected problems.</x:v>
      </x:c>
      <x:c r="G40" s="130" t="str">
        <x:v>Capacity estimation: QPS, storage, bandwidth.</x:v>
      </x:c>
      <x:c r="H40" s="130" t="str">
        <x:v>45-min system-design mock: URL shortener.</x:v>
      </x:c>
      <x:c r="I40" s="130" t="str">
        <x:v>Process 100 relevant openings/day via automation; dedupe + score + prepare fields; human-review strongest matches before submission; follow up and measure conversion.</x:v>
      </x:c>
      <x:c r="J40" s="130" t="str">
        <x:v>2.5h weekday / 4h+ weekend</x:v>
      </x:c>
      <x:c r="K40" s="130" t="str">
        <x:v>Explain topics without notes; build works/tests pass; DSA reviewed; interview drill completed; job activity logged.</x:v>
      </x:c>
    </x:row>
    <x:row r="41" ht="66" customHeight="1">
      <x:c r="A41" s="134" t="n">
        <x:v>37</x:v>
      </x:c>
      <x:c r="B41" s="134" t="n">
        <x:v>6</x:v>
      </x:c>
      <x:c r="C41" s="134" t="str">
        <x:v>System Design + Backend Interview Depth</x:v>
      </x:c>
      <x:c r="D41" s="134" t="str">
        <x:v>Scaling databases; Replication; read replicas; partitioning/sharding; indexes; connection pools; consistency; hot keys; pagination</x:v>
      </x:c>
      <x:c r="E41" s="134" t="str">
        <x:v>Design scaling path for capstone from 100 to 1M users; document trigger points.</x:v>
      </x:c>
      <x:c r="F41" s="134" t="str">
        <x:v>Review trees/heaps: 4 selected problems.</x:v>
      </x:c>
      <x:c r="G41" s="134" t="str">
        <x:v>Replication lag; sharding keys.</x:v>
      </x:c>
      <x:c r="H41" s="134" t="str">
        <x:v>Design scalable order/user database.</x:v>
      </x:c>
      <x:c r="I41" s="134" t="str">
        <x:v>Process 100 relevant openings/day via automation; dedupe + score + prepare fields; human-review strongest matches before submission; follow up and measure conversion.</x:v>
      </x:c>
      <x:c r="J41" s="134" t="str">
        <x:v>2.5h weekday / 4h+ weekend</x:v>
      </x:c>
      <x:c r="K41" s="134" t="str">
        <x:v>Explain topics without notes; build works/tests pass; DSA reviewed; interview drill completed; job activity logged.</x:v>
      </x:c>
    </x:row>
    <x:row r="42" ht="66" customHeight="1">
      <x:c r="A42" s="130" t="n">
        <x:v>38</x:v>
      </x:c>
      <x:c r="B42" s="130" t="n">
        <x:v>6</x:v>
      </x:c>
      <x:c r="C42" s="130" t="str">
        <x:v>System Design + Backend Interview Depth</x:v>
      </x:c>
      <x:c r="D42" s="130" t="str">
        <x:v>Caching + CDN + queues; Cache layers; CDN; cache invalidation; message queues; pub/sub; event-driven architecture; ordering</x:v>
      </x:c>
      <x:c r="E42" s="130" t="str">
        <x:v>Design notification system; choose sync vs async boundaries.</x:v>
      </x:c>
      <x:c r="F42" s="130" t="str">
        <x:v>Review graphs: 4 selected problems.</x:v>
      </x:c>
      <x:c r="G42" s="130" t="str">
        <x:v>At-most/at-least/exactly-once terminology and realities.</x:v>
      </x:c>
      <x:c r="H42" s="130" t="str">
        <x:v>System design: notification service.</x:v>
      </x:c>
      <x:c r="I42" s="130" t="str">
        <x:v>Process 100 relevant openings/day via automation; dedupe + score + prepare fields; human-review strongest matches before submission; follow up and measure conversion.</x:v>
      </x:c>
      <x:c r="J42" s="130" t="str">
        <x:v>2.5h weekday / 4h+ weekend</x:v>
      </x:c>
      <x:c r="K42" s="130" t="str">
        <x:v>Explain topics without notes; build works/tests pass; DSA reviewed; interview drill completed; job activity logged.</x:v>
      </x:c>
    </x:row>
    <x:row r="43" ht="66" customHeight="1">
      <x:c r="A43" s="134" t="n">
        <x:v>39</x:v>
      </x:c>
      <x:c r="B43" s="134" t="n">
        <x:v>6</x:v>
      </x:c>
      <x:c r="C43" s="134" t="str">
        <x:v>System Design + Backend Interview Depth</x:v>
      </x:c>
      <x:c r="D43" s="134" t="str">
        <x:v>Distributed systems basics; CAP nuance; consistency models; leader election concept; distributed locks; clock/id generation; idempotency</x:v>
      </x:c>
      <x:c r="E43" s="134" t="str">
        <x:v>Design unique ID strategy and distributed job processing for capstone.</x:v>
      </x:c>
      <x:c r="F43" s="134" t="str">
        <x:v>Review DP: 4 selected problems.</x:v>
      </x:c>
      <x:c r="G43" s="134" t="str">
        <x:v>UUID vs sequence vs Snowflake-style IDs.</x:v>
      </x:c>
      <x:c r="H43" s="134" t="str">
        <x:v>Explain CAP without memorized slogans.</x:v>
      </x:c>
      <x:c r="I43" s="134" t="str">
        <x:v>Process 100 relevant openings/day via automation; dedupe + score + prepare fields; human-review strongest matches before submission; follow up and measure conversion.</x:v>
      </x:c>
      <x:c r="J43" s="134" t="str">
        <x:v>2.5h weekday / 4h+ weekend</x:v>
      </x:c>
      <x:c r="K43" s="134" t="str">
        <x:v>Explain topics without notes; build works/tests pass; DSA reviewed; interview drill completed; job activity logged.</x:v>
      </x:c>
    </x:row>
    <x:row r="44" ht="66" customHeight="1">
      <x:c r="A44" s="130" t="n">
        <x:v>40</x:v>
      </x:c>
      <x:c r="B44" s="130" t="n">
        <x:v>6</x:v>
      </x:c>
      <x:c r="C44" s="130" t="str">
        <x:v>System Design + Backend Interview Depth</x:v>
      </x:c>
      <x:c r="D44" s="130" t="str">
        <x:v>Design common systems; Rate limiter; file storage; search/autocomplete; chat basics; job scheduler</x:v>
      </x:c>
      <x:c r="E44" s="130" t="str">
        <x:v>Design rate limiter + one of file storage/job scheduler.</x:v>
      </x:c>
      <x:c r="F44" s="130" t="str">
        <x:v>Timed 3 mediums.</x:v>
      </x:c>
      <x:c r="G44" s="130" t="str">
        <x:v>Token bucket vs leaky bucket.</x:v>
      </x:c>
      <x:c r="H44" s="130" t="str">
        <x:v>45-min design mock: rate limiter.</x:v>
      </x:c>
      <x:c r="I44" s="130" t="str">
        <x:v>Process 100 relevant openings/day via automation; dedupe + score + prepare fields; human-review strongest matches before submission; follow up and measure conversion.</x:v>
      </x:c>
      <x:c r="J44" s="130" t="str">
        <x:v>2.5h weekday / 4h+ weekend</x:v>
      </x:c>
      <x:c r="K44" s="130" t="str">
        <x:v>Explain topics without notes; build works/tests pass; DSA reviewed; interview drill completed; job activity logged.</x:v>
      </x:c>
    </x:row>
    <x:row r="45" ht="66" customHeight="1">
      <x:c r="A45" s="134" t="n">
        <x:v>41</x:v>
      </x:c>
      <x:c r="B45" s="134" t="n">
        <x:v>6</x:v>
      </x:c>
      <x:c r="C45" s="134" t="str">
        <x:v>System Design + Backend Interview Depth</x:v>
      </x:c>
      <x:c r="D45" s="134" t="str">
        <x:v>Backend interview revision; Python/FastAPI/Django/Postgres/Redis/Celery/Docker/AWS question bank; STAR storytelling</x:v>
      </x:c>
      <x:c r="E45" s="134" t="str">
        <x:v>Create 30 concise flashcards + 8 STAR stories from real work/capstone.</x:v>
      </x:c>
      <x:c r="F45" s="134" t="str">
        <x:v>Timed 3 mixed problems.</x:v>
      </x:c>
      <x:c r="G45" s="134" t="str">
        <x:v>DBMS/OS/networking rapid revision.</x:v>
      </x:c>
      <x:c r="H45" s="134" t="str">
        <x:v>60-question rapid-fire technical drill.</x:v>
      </x:c>
      <x:c r="I45" s="134" t="str">
        <x:v>Process 100 relevant openings/day via automation; dedupe + score + prepare fields; human-review strongest matches before submission; follow up and measure conversion.</x:v>
      </x:c>
      <x:c r="J45" s="134" t="str">
        <x:v>2.5h weekday / 4h+ weekend</x:v>
      </x:c>
      <x:c r="K45" s="134" t="str">
        <x:v>Explain topics without notes; build works/tests pass; DSA reviewed; interview drill completed; job activity logged.</x:v>
      </x:c>
    </x:row>
    <x:row r="46" ht="66" customHeight="1">
      <x:c r="A46" s="130" t="n">
        <x:v>42</x:v>
      </x:c>
      <x:c r="B46" s="130" t="n">
        <x:v>6</x:v>
      </x:c>
      <x:c r="C46" s="130" t="str">
        <x:v>System Design + Backend Interview Depth</x:v>
      </x:c>
      <x:c r="D46" s="130" t="str">
        <x:v>Week 6 full mock; No new topics; identify gaps from mocks</x:v>
      </x:c>
      <x:c r="E46" s="130" t="str">
        <x:v>2-hour mock loop: coding + backend deep dive + system design + behavioral; write remediation list.</x:v>
      </x:c>
      <x:c r="F46" s="130" t="str">
        <x:v>2 timed medium problems in 45 min.</x:v>
      </x:c>
      <x:c r="G46" s="130" t="str">
        <x:v>Review weakest CS topic.</x:v>
      </x:c>
      <x:c r="H46" s="130" t="str">
        <x:v>Full mock interview and score yourself.</x:v>
      </x:c>
      <x:c r="I46" s="130" t="str">
        <x:v>Process 100 relevant openings/day via automation; dedupe + score + prepare fields; human-review strongest matches before submission; follow up and measure conversion.</x:v>
      </x:c>
      <x:c r="J46" s="130" t="str">
        <x:v>2.5h weekday / 4h+ weekend</x:v>
      </x:c>
      <x:c r="K46" s="130" t="str">
        <x:v>Explain topics without notes; build works/tests pass; DSA reviewed; interview drill completed; job activity logged.</x:v>
      </x:c>
    </x:row>
    <x:row r="47" ht="66" customHeight="1">
      <x:c r="A47" s="134" t="n">
        <x:v>43</x:v>
      </x:c>
      <x:c r="B47" s="134" t="n">
        <x:v>7</x:v>
      </x:c>
      <x:c r="C47" s="134" t="str">
        <x:v>AI Product Engineering + Capstone Differentiator</x:v>
      </x:c>
      <x:c r="D47" s="134" t="str">
        <x:v>LLM API fundamentals; Tokens/context; system/user/tool messages; temperature concept; structured outputs; latency/cost; streaming</x:v>
      </x:c>
      <x:c r="E47" s="134" t="str">
        <x:v>Add one useful LLM feature to capstone with structured output and logging.</x:v>
      </x:c>
      <x:c r="F47" s="134" t="str">
        <x:v>Timed 2 mediums.</x:v>
      </x:c>
      <x:c r="G47" s="134" t="str">
        <x:v>API reliability/cost controls for external AI service.</x:v>
      </x:c>
      <x:c r="H47" s="134" t="str">
        <x:v>Explain when an LLM is and isn't appropriate.</x:v>
      </x:c>
      <x:c r="I47" s="134" t="str">
        <x:v>Process 100 relevant openings/day via automation; dedupe + score + prepare fields; human-review strongest matches before submission; follow up and measure conversion.</x:v>
      </x:c>
      <x:c r="J47" s="134" t="str">
        <x:v>2.5h weekday / 4h+ weekend</x:v>
      </x:c>
      <x:c r="K47" s="134" t="str">
        <x:v>Explain topics without notes; build works/tests pass; DSA reviewed; interview drill completed; job activity logged.</x:v>
      </x:c>
    </x:row>
    <x:row r="48" ht="66" customHeight="1">
      <x:c r="A48" s="130" t="n">
        <x:v>44</x:v>
      </x:c>
      <x:c r="B48" s="130" t="n">
        <x:v>7</x:v>
      </x:c>
      <x:c r="C48" s="130" t="str">
        <x:v>AI Product Engineering + Capstone Differentiator</x:v>
      </x:c>
      <x:c r="D48" s="130" t="str">
        <x:v>Embeddings + RAG; Embeddings; chunking; vector search; retrieval; top-k; metadata filters; grounding; RAG pipeline</x:v>
      </x:c>
      <x:c r="E48" s="130" t="str">
        <x:v>Build small document ingestion + retrieval endpoint; evaluate on 10 questions.</x:v>
      </x:c>
      <x:c r="F48" s="130" t="str">
        <x:v>Timed 2 mediums.</x:v>
      </x:c>
      <x:c r="G48" s="130" t="str">
        <x:v>Vector DB concept vs PostgreSQL/vector extension concept.</x:v>
      </x:c>
      <x:c r="H48" s="130" t="str">
        <x:v>Explain RAG end-to-end and failure modes.</x:v>
      </x:c>
      <x:c r="I48" s="130" t="str">
        <x:v>Process 100 relevant openings/day via automation; dedupe + score + prepare fields; human-review strongest matches before submission; follow up and measure conversion.</x:v>
      </x:c>
      <x:c r="J48" s="130" t="str">
        <x:v>2.5h weekday / 4h+ weekend</x:v>
      </x:c>
      <x:c r="K48" s="130" t="str">
        <x:v>Explain topics without notes; build works/tests pass; DSA reviewed; interview drill completed; job activity logged.</x:v>
      </x:c>
    </x:row>
    <x:row r="49" ht="66" customHeight="1">
      <x:c r="A49" s="134" t="n">
        <x:v>45</x:v>
      </x:c>
      <x:c r="B49" s="134" t="n">
        <x:v>7</x:v>
      </x:c>
      <x:c r="C49" s="134" t="str">
        <x:v>AI Product Engineering + Capstone Differentiator</x:v>
      </x:c>
      <x:c r="D49" s="134" t="str">
        <x:v>RAG quality; Chunk size/overlap; hybrid search concept; reranking concept; citations; retrieval evaluation; hallucination controls</x:v>
      </x:c>
      <x:c r="E49" s="134" t="str">
        <x:v>Create evaluation dataset; measure retrieval hit rate manually; improve one failure.</x:v>
      </x:c>
      <x:c r="F49" s="134" t="str">
        <x:v>Re-solve 3 weak problems.</x:v>
      </x:c>
      <x:c r="G49" s="134" t="str">
        <x:v>Evaluation precision/recall intuition.</x:v>
      </x:c>
      <x:c r="H49" s="134" t="str">
        <x:v>Discuss how you know your RAG works.</x:v>
      </x:c>
      <x:c r="I49" s="134" t="str">
        <x:v>Process 100 relevant openings/day via automation; dedupe + score + prepare fields; human-review strongest matches before submission; follow up and measure conversion.</x:v>
      </x:c>
      <x:c r="J49" s="134" t="str">
        <x:v>2.5h weekday / 4h+ weekend</x:v>
      </x:c>
      <x:c r="K49" s="134" t="str">
        <x:v>Explain topics without notes; build works/tests pass; DSA reviewed; interview drill completed; job activity logged.</x:v>
      </x:c>
    </x:row>
    <x:row r="50" ht="66" customHeight="1">
      <x:c r="A50" s="130" t="n">
        <x:v>46</x:v>
      </x:c>
      <x:c r="B50" s="130" t="n">
        <x:v>7</x:v>
      </x:c>
      <x:c r="C50" s="130" t="str">
        <x:v>AI Product Engineering + Capstone Differentiator</x:v>
      </x:c>
      <x:c r="D50" s="130" t="str">
        <x:v>Tool calling / agent loop; Tool schema; planner vs deterministic workflow; loop termination; state; retries; permissions; human-in-loop</x:v>
      </x:c>
      <x:c r="E50" s="130" t="str">
        <x:v>Build agent/tool workflow that performs a bounded business task using capstone APIs.</x:v>
      </x:c>
      <x:c r="F50" s="130" t="str">
        <x:v>Timed 2 mediums.</x:v>
      </x:c>
      <x:c r="G50" s="130" t="str">
        <x:v>State machines/workflow orchestration.</x:v>
      </x:c>
      <x:c r="H50" s="130" t="str">
        <x:v>Explain why you chose workflow vs autonomous agent.</x:v>
      </x:c>
      <x:c r="I50" s="130" t="str">
        <x:v>Process 100 relevant openings/day via automation; dedupe + score + prepare fields; human-review strongest matches before submission; follow up and measure conversion.</x:v>
      </x:c>
      <x:c r="J50" s="130" t="str">
        <x:v>2.5h weekday / 4h+ weekend</x:v>
      </x:c>
      <x:c r="K50" s="130" t="str">
        <x:v>Explain topics without notes; build works/tests pass; DSA reviewed; interview drill completed; job activity logged.</x:v>
      </x:c>
    </x:row>
    <x:row r="51" ht="66" customHeight="1">
      <x:c r="A51" s="134" t="n">
        <x:v>47</x:v>
      </x:c>
      <x:c r="B51" s="134" t="n">
        <x:v>7</x:v>
      </x:c>
      <x:c r="C51" s="134" t="str">
        <x:v>AI Product Engineering + Capstone Differentiator</x:v>
      </x:c>
      <x:c r="D51" s="134" t="str">
        <x:v>AI production safety/reliability; Prompt injection; tool permission boundaries; PII/secrets; output validation; timeouts; fallbacks; cost limits</x:v>
      </x:c>
      <x:c r="E51" s="134" t="str">
        <x:v>Add allowlisted tools, validation, timeout/budget and failure fallback.</x:v>
      </x:c>
      <x:c r="F51" s="134" t="str">
        <x:v>Timed 2 mediums.</x:v>
      </x:c>
      <x:c r="G51" s="134" t="str">
        <x:v>Threat modeling AI integrations.</x:v>
      </x:c>
      <x:c r="H51" s="134" t="str">
        <x:v>AI feature security/reliability mock.</x:v>
      </x:c>
      <x:c r="I51" s="134" t="str">
        <x:v>Process 100 relevant openings/day via automation; dedupe + score + prepare fields; human-review strongest matches before submission; follow up and measure conversion.</x:v>
      </x:c>
      <x:c r="J51" s="134" t="str">
        <x:v>2.5h weekday / 4h+ weekend</x:v>
      </x:c>
      <x:c r="K51" s="134" t="str">
        <x:v>Explain topics without notes; build works/tests pass; DSA reviewed; interview drill completed; job activity logged.</x:v>
      </x:c>
    </x:row>
    <x:row r="52" ht="66" customHeight="1">
      <x:c r="A52" s="130" t="n">
        <x:v>48</x:v>
      </x:c>
      <x:c r="B52" s="130" t="n">
        <x:v>7</x:v>
      </x:c>
      <x:c r="C52" s="130" t="str">
        <x:v>AI Product Engineering + Capstone Differentiator</x:v>
      </x:c>
      <x:c r="D52" s="130" t="str">
        <x:v>AI observability + evaluation; Trace inputs/outputs safely; latency; token usage; cost; offline eval; regression set; LLM-as-judge limitations</x:v>
      </x:c>
      <x:c r="E52" s="130" t="str">
        <x:v>Add evaluation script/dashboard data for 20 cases; document pass criteria.</x:v>
      </x:c>
      <x:c r="F52" s="130" t="str">
        <x:v>Timed 2 mediums.</x:v>
      </x:c>
      <x:c r="G52" s="130" t="str">
        <x:v>Experiment design basics.</x:v>
      </x:c>
      <x:c r="H52" s="130" t="str">
        <x:v>Present evaluation results in 5 minutes.</x:v>
      </x:c>
      <x:c r="I52" s="130" t="str">
        <x:v>Process 100 relevant openings/day via automation; dedupe + score + prepare fields; human-review strongest matches before submission; follow up and measure conversion.</x:v>
      </x:c>
      <x:c r="J52" s="130" t="str">
        <x:v>2.5h weekday / 4h+ weekend</x:v>
      </x:c>
      <x:c r="K52" s="130" t="str">
        <x:v>Explain topics without notes; build works/tests pass; DSA reviewed; interview drill completed; job activity logged.</x:v>
      </x:c>
    </x:row>
    <x:row r="53" ht="66" customHeight="1">
      <x:c r="A53" s="134" t="n">
        <x:v>49</x:v>
      </x:c>
      <x:c r="B53" s="134" t="n">
        <x:v>7</x:v>
      </x:c>
      <x:c r="C53" s="134" t="str">
        <x:v>AI Product Engineering + Capstone Differentiator</x:v>
      </x:c>
      <x:c r="D53" s="134" t="str">
        <x:v>AI feature release; Product usefulness; UX fallback; feature flags; rollout; feedback loop</x:v>
      </x:c>
      <x:c r="E53" s="134" t="str">
        <x:v>Ship AI feature behind feature flag; README architecture + demo recording/script.</x:v>
      </x:c>
      <x:c r="F53" s="134" t="str">
        <x:v>Week-7 mixed contest: 4 problems.</x:v>
      </x:c>
      <x:c r="G53" s="134" t="str">
        <x:v>Canary/feature rollout recap.</x:v>
      </x:c>
      <x:c r="H53" s="134" t="str">
        <x:v>10-minute capstone demo as if to hiring panel.</x:v>
      </x:c>
      <x:c r="I53" s="134" t="str">
        <x:v>Process 100 relevant openings/day via automation; dedupe + score + prepare fields; human-review strongest matches before submission; follow up and measure conversion.</x:v>
      </x:c>
      <x:c r="J53" s="134" t="str">
        <x:v>2.5h weekday / 4h+ weekend</x:v>
      </x:c>
      <x:c r="K53" s="134" t="str">
        <x:v>Explain topics without notes; build works/tests pass; DSA reviewed; interview drill completed; job activity logged.</x:v>
      </x:c>
    </x:row>
    <x:row r="54" ht="66" customHeight="1">
      <x:c r="A54" s="130" t="n">
        <x:v>50</x:v>
      </x:c>
      <x:c r="B54" s="130" t="n">
        <x:v>8</x:v>
      </x:c>
      <x:c r="C54" s="130" t="str">
        <x:v>Interview Conversion + Job Automation Sprint</x:v>
      </x:c>
      <x:c r="D54" s="130" t="str">
        <x:v>Resume + positioning; Backend/software-engineer positioning; impact bullets; metrics; ATS keywords; project storytelling; role-specific resume variants</x:v>
      </x:c>
      <x:c r="E54" s="130" t="str">
        <x:v>Create Backend, Software Engineer, AI Product Engineer resume variants; GitHub pinned projects.</x:v>
      </x:c>
      <x:c r="F54" s="130" t="str">
        <x:v>Timed 2 mediums.</x:v>
      </x:c>
      <x:c r="G54" s="130" t="str">
        <x:v>Review SQL joins/indexes/transactions.</x:v>
      </x:c>
      <x:c r="H54" s="130" t="str">
        <x:v>Practice 90-sec introduction + 5 project stories.</x:v>
      </x:c>
      <x:c r="I54" s="130" t="str">
        <x:v>Process 100 relevant openings/day via automation; dedupe + score + prepare fields; human-review strongest matches before submission; follow up and measure conversion.</x:v>
      </x:c>
      <x:c r="J54" s="130" t="str">
        <x:v>2.5h weekday / 4h+ weekend</x:v>
      </x:c>
      <x:c r="K54" s="130" t="str">
        <x:v>Explain topics without notes; build works/tests pass; DSA reviewed; interview drill completed; job activity logged.</x:v>
      </x:c>
    </x:row>
    <x:row r="55" ht="66" customHeight="1">
      <x:c r="A55" s="134" t="n">
        <x:v>51</x:v>
      </x:c>
      <x:c r="B55" s="134" t="n">
        <x:v>8</x:v>
      </x:c>
      <x:c r="C55" s="134" t="str">
        <x:v>Interview Conversion + Job Automation Sprint</x:v>
      </x:c>
      <x:c r="D55" s="134" t="str">
        <x:v>Job sourcing system; Target-company tiers; job freshness; search operators; role/title normalization; deduplication; fit scoring; application quality</x:v>
      </x:c>
      <x:c r="E55" s="134" t="str">
        <x:v>Build/finish job collector that stores URL/company/title/date/JD; dedupe and score against skills.</x:v>
      </x:c>
      <x:c r="F55" s="134" t="str">
        <x:v>Timed 2 mediums.</x:v>
      </x:c>
      <x:c r="G55" s="134" t="str">
        <x:v>SQL exercise: 10 interview queries.</x:v>
      </x:c>
      <x:c r="H55" s="134" t="str">
        <x:v>Source 100 relevant openings; classify A/B/C fit; do not count duplicates.</x:v>
      </x:c>
      <x:c r="I55" s="134" t="str">
        <x:v>Process 100 relevant openings/day via automation; dedupe + score + prepare fields; human-review strongest matches before submission; follow up and measure conversion.</x:v>
      </x:c>
      <x:c r="J55" s="134" t="str">
        <x:v>2.5h weekday / 4h+ weekend</x:v>
      </x:c>
      <x:c r="K55" s="134" t="str">
        <x:v>Explain topics without notes; build works/tests pass; DSA reviewed; interview drill completed; job activity logged.</x:v>
      </x:c>
    </x:row>
    <x:row r="56" ht="66" customHeight="1">
      <x:c r="A56" s="130" t="n">
        <x:v>52</x:v>
      </x:c>
      <x:c r="B56" s="130" t="n">
        <x:v>8</x:v>
      </x:c>
      <x:c r="C56" s="130" t="str">
        <x:v>Interview Conversion + Job Automation Sprint</x:v>
      </x:c>
      <x:c r="D56" s="130" t="str">
        <x:v>Application automation; Resume/JD keyword matching; templated fields; autofill boundaries; audit trail; anti-duplicate safeguards; manual review checkpoint</x:v>
      </x:c>
      <x:c r="E56" s="130" t="str">
        <x:v>Automate repetitive data preparation/form filling where permitted; keep final review/submission under your control; log every application.</x:v>
      </x:c>
      <x:c r="F56" s="130" t="str">
        <x:v>Timed 2 mediums.</x:v>
      </x:c>
      <x:c r="G56" s="130" t="str">
        <x:v>Review HTTP/API/security flashcards.</x:v>
      </x:c>
      <x:c r="H56" s="130" t="str">
        <x:v>Target 100 processed opportunities: prioritize high-fit fresh roles and record submitted vs skipped with reason.</x:v>
      </x:c>
      <x:c r="I56" s="130" t="str">
        <x:v>Process 100 relevant openings/day via automation; dedupe + score + prepare fields; human-review strongest matches before submission; follow up and measure conversion.</x:v>
      </x:c>
      <x:c r="J56" s="130" t="str">
        <x:v>2.5h weekday / 4h+ weekend</x:v>
      </x:c>
      <x:c r="K56" s="130" t="str">
        <x:v>Explain topics without notes; build works/tests pass; DSA reviewed; interview drill completed; job activity logged.</x:v>
      </x:c>
    </x:row>
    <x:row r="57" ht="66" customHeight="1">
      <x:c r="A57" s="134" t="n">
        <x:v>53</x:v>
      </x:c>
      <x:c r="B57" s="134" t="n">
        <x:v>8</x:v>
      </x:c>
      <x:c r="C57" s="134" t="str">
        <x:v>Interview Conversion + Job Automation Sprint</x:v>
      </x:c>
      <x:c r="D57" s="134" t="str">
        <x:v>Recruiter/referral outreach; Concise outreach; proof-of-work; referral ask; follow-up cadence; LinkedIn/GitHub profile optimization</x:v>
      </x:c>
      <x:c r="E57" s="134" t="str">
        <x:v>Prepare 3 outreach templates and personalized evidence snippets; send targeted outreach alongside applications.</x:v>
      </x:c>
      <x:c r="F57" s="134" t="str">
        <x:v>Timed 2 mediums.</x:v>
      </x:c>
      <x:c r="G57" s="134" t="str">
        <x:v>System design rapid review.</x:v>
      </x:c>
      <x:c r="H57" s="134" t="str">
        <x:v>Contact recruiters/referrals for top-fit roles; track reply rate.</x:v>
      </x:c>
      <x:c r="I57" s="134" t="str">
        <x:v>Process 100 relevant openings/day via automation; dedupe + score + prepare fields; human-review strongest matches before submission; follow up and measure conversion.</x:v>
      </x:c>
      <x:c r="J57" s="134" t="str">
        <x:v>2.5h weekday / 4h+ weekend</x:v>
      </x:c>
      <x:c r="K57" s="134" t="str">
        <x:v>Explain topics without notes; build works/tests pass; DSA reviewed; interview drill completed; job activity logged.</x:v>
      </x:c>
    </x:row>
    <x:row r="58" ht="66" customHeight="1">
      <x:c r="A58" s="130" t="n">
        <x:v>54</x:v>
      </x:c>
      <x:c r="B58" s="130" t="n">
        <x:v>8</x:v>
      </x:c>
      <x:c r="C58" s="130" t="str">
        <x:v>Interview Conversion + Job Automation Sprint</x:v>
      </x:c>
      <x:c r="D58" s="130" t="str">
        <x:v>Coding interview day; Problem clarification; examples; brute force; optimization; complexity; testing edge cases; communication</x:v>
      </x:c>
      <x:c r="E58" s="130" t="str">
        <x:v>Run 2 x 45-min coding mocks under interview conditions.</x:v>
      </x:c>
      <x:c r="F58" s="130" t="str">
        <x:v>2 medium interview problems + review.</x:v>
      </x:c>
      <x:c r="G58" s="130" t="str">
        <x:v>SQL timed test: 5 queries/30 min.</x:v>
      </x:c>
      <x:c r="H58" s="130" t="str">
        <x:v>Review recordings/notes; create top-10 coding mistakes checklist.</x:v>
      </x:c>
      <x:c r="I58" s="130" t="str">
        <x:v>Process 100 relevant openings/day via automation; dedupe + score + prepare fields; human-review strongest matches before submission; follow up and measure conversion.</x:v>
      </x:c>
      <x:c r="J58" s="130" t="str">
        <x:v>2.5h weekday / 4h+ weekend</x:v>
      </x:c>
      <x:c r="K58" s="130" t="str">
        <x:v>Explain topics without notes; build works/tests pass; DSA reviewed; interview drill completed; job activity logged.</x:v>
      </x:c>
    </x:row>
    <x:row r="59" ht="66" customHeight="1">
      <x:c r="A59" s="134" t="n">
        <x:v>55</x:v>
      </x:c>
      <x:c r="B59" s="134" t="n">
        <x:v>8</x:v>
      </x:c>
      <x:c r="C59" s="134" t="str">
        <x:v>Interview Conversion + Job Automation Sprint</x:v>
      </x:c>
      <x:c r="D59" s="134" t="str">
        <x:v>Backend + system design interview day; Backend troubleshooting; database choices; API design; reliability; deployment; architecture tradeoffs</x:v>
      </x:c>
      <x:c r="E59" s="134" t="str">
        <x:v>Run backend deep-dive + 60-min system-design mock using capstone.</x:v>
      </x:c>
      <x:c r="F59" s="134" t="str">
        <x:v>1 medium warm-up.</x:v>
      </x:c>
      <x:c r="G59" s="134" t="str">
        <x:v>Review DB/OS/networking weakest areas.</x:v>
      </x:c>
      <x:c r="H59" s="134" t="str">
        <x:v>Prepare crisp answers to 50 backend questions.</x:v>
      </x:c>
      <x:c r="I59" s="134" t="str">
        <x:v>Process 100 relevant openings/day via automation; dedupe + score + prepare fields; human-review strongest matches before submission; follow up and measure conversion.</x:v>
      </x:c>
      <x:c r="J59" s="134" t="str">
        <x:v>2.5h weekday / 4h+ weekend</x:v>
      </x:c>
      <x:c r="K59" s="134" t="str">
        <x:v>Explain topics without notes; build works/tests pass; DSA reviewed; interview drill completed; job activity logged.</x:v>
      </x:c>
    </x:row>
    <x:row r="60" ht="66" customHeight="1">
      <x:c r="A60" s="130" t="n">
        <x:v>56</x:v>
      </x:c>
      <x:c r="B60" s="130" t="n">
        <x:v>8</x:v>
      </x:c>
      <x:c r="C60" s="130" t="str">
        <x:v>Interview Conversion + Job Automation Sprint</x:v>
      </x:c>
      <x:c r="D60" s="130" t="str">
        <x:v>Behavioral + offer pipeline; STAR; ownership; conflict; failure; incident; ambiguity; leadership without title; compensation conversation; remote-work communication</x:v>
      </x:c>
      <x:c r="E60" s="130" t="str">
        <x:v>Prepare 10 STAR stories and final portfolio README; update application tracker conversion metrics.</x:v>
      </x:c>
      <x:c r="F60" s="130" t="str">
        <x:v>1 easy + 1 medium warm-up.</x:v>
      </x:c>
      <x:c r="G60" s="130" t="str">
        <x:v>Final CS cheat-sheet review.</x:v>
      </x:c>
      <x:c r="H60" s="130" t="str">
        <x:v>Full interview loop simulation; plan next 30 days based on response/interview rates.</x:v>
      </x:c>
      <x:c r="I60" s="130" t="str">
        <x:v>Process 100 relevant openings/day via automation; dedupe + score + prepare fields; human-review strongest matches before submission; follow up and measure conversion.</x:v>
      </x:c>
      <x:c r="J60" s="130" t="str">
        <x:v>2.5h weekday / 4h+ weekend</x:v>
      </x:c>
      <x:c r="K60" s="130" t="str">
        <x:v>Explain topics without notes; build works/tests pass; DSA reviewed; interview drill completed; job activity logged.</x:v>
      </x:c>
    </x:row>
  </x:sheetData>
  <x:mergeCells>
    <x:mergeCell ref="A1:K2"/>
  </x:mergeCells>
  <x:pageMargins left="0.7" right="0.7" top="0.75" bottom="0.75" header="0.3" footer="0.3"/>
</x:worksheet>
</file>